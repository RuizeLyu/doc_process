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https://deloitte-my.sharepoint.cn/personal/haotu_deloittecn_com_cn/Documents/Desktop/"/>
    </mc:Choice>
  </mc:AlternateContent>
  <xr:revisionPtr revIDLastSave="45" documentId="11_745261E8901AFA95E34A1EDDBFB23C02F9858826" xr6:coauthVersionLast="47" xr6:coauthVersionMax="47" xr10:uidLastSave="{DB9DAFE7-676C-4462-A5AB-FCFB5FD15621}"/>
  <bookViews>
    <workbookView xWindow="-108" yWindow="-108" windowWidth="23256" windowHeight="12456" tabRatio="743" xr2:uid="{00000000-000D-0000-FFFF-FFFF00000000}"/>
  </bookViews>
  <sheets>
    <sheet name="UAT测试案例清单" sheetId="7" r:id="rId1"/>
    <sheet name="PY_001" sheetId="8" r:id="rId2"/>
    <sheet name="PY_002" sheetId="53" r:id="rId3"/>
    <sheet name="PY_003" sheetId="52" r:id="rId4"/>
    <sheet name="PY_004" sheetId="9" r:id="rId5"/>
    <sheet name="PY_005" sheetId="15" r:id="rId6"/>
    <sheet name="PY_006" sheetId="16" r:id="rId7"/>
    <sheet name="PY_007" sheetId="17" r:id="rId8"/>
    <sheet name="PY_008" sheetId="18" r:id="rId9"/>
    <sheet name="PY_009" sheetId="19" r:id="rId10"/>
    <sheet name="PY_010" sheetId="54" r:id="rId11"/>
    <sheet name="PY_011" sheetId="21" r:id="rId12"/>
    <sheet name="PY_012" sheetId="22" r:id="rId13"/>
    <sheet name="PY_013" sheetId="23" r:id="rId14"/>
    <sheet name="PY_014" sheetId="24" r:id="rId15"/>
    <sheet name="PY_015" sheetId="25" r:id="rId16"/>
    <sheet name="PY_016" sheetId="10" r:id="rId17"/>
    <sheet name="PY_017" sheetId="11" r:id="rId18"/>
    <sheet name="PY_018" sheetId="12" r:id="rId19"/>
    <sheet name="PY_019" sheetId="13" r:id="rId20"/>
    <sheet name="PY_020" sheetId="14" r:id="rId21"/>
    <sheet name="PY_101" sheetId="27" r:id="rId22"/>
    <sheet name="PY_102" sheetId="28" r:id="rId23"/>
    <sheet name="PY_103" sheetId="29" r:id="rId24"/>
    <sheet name="PY_104" sheetId="30" r:id="rId25"/>
    <sheet name="PY_105" sheetId="31" r:id="rId26"/>
    <sheet name="PY_106" sheetId="32" r:id="rId27"/>
    <sheet name="PY_107" sheetId="33" r:id="rId28"/>
    <sheet name="PY_108" sheetId="34" r:id="rId29"/>
    <sheet name="PY_109" sheetId="35" r:id="rId30"/>
    <sheet name="PY_110" sheetId="36" r:id="rId31"/>
    <sheet name="PY_111" sheetId="37" r:id="rId32"/>
    <sheet name="PY_112" sheetId="38" r:id="rId33"/>
    <sheet name="PY_113" sheetId="39" r:id="rId34"/>
    <sheet name="PY_114" sheetId="40" r:id="rId35"/>
    <sheet name="PY_115" sheetId="41" r:id="rId36"/>
    <sheet name="PY_116" sheetId="42" r:id="rId37"/>
    <sheet name="PY_117" sheetId="43" r:id="rId38"/>
    <sheet name="PY_118" sheetId="44" r:id="rId39"/>
    <sheet name="PY_119" sheetId="45" r:id="rId40"/>
    <sheet name="PY_120" sheetId="46" r:id="rId41"/>
    <sheet name="PY_121" sheetId="47" r:id="rId42"/>
    <sheet name="PY_122" sheetId="48" r:id="rId43"/>
    <sheet name="PY_123" sheetId="49" r:id="rId44"/>
    <sheet name="PY_124" sheetId="50"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35" l="1"/>
  <c r="E25" i="35"/>
  <c r="E26" i="31"/>
  <c r="E25" i="31"/>
  <c r="E34" i="28"/>
  <c r="E33" i="28"/>
  <c r="E32" i="28"/>
  <c r="E27" i="28"/>
  <c r="E26" i="28"/>
  <c r="E25" i="28"/>
  <c r="F28" i="27"/>
  <c r="F23" i="27"/>
</calcChain>
</file>

<file path=xl/sharedStrings.xml><?xml version="1.0" encoding="utf-8"?>
<sst xmlns="http://schemas.openxmlformats.org/spreadsheetml/2006/main" count="1841" uniqueCount="495">
  <si>
    <t>序号</t>
  </si>
  <si>
    <t>场景编号</t>
  </si>
  <si>
    <t>场景描述</t>
  </si>
  <si>
    <t>备注</t>
  </si>
  <si>
    <t>PY_001</t>
  </si>
  <si>
    <t>功能场景</t>
  </si>
  <si>
    <t>单个查看与维护</t>
  </si>
  <si>
    <t>PY_002</t>
  </si>
  <si>
    <t>批量维护</t>
  </si>
  <si>
    <t>PY_003</t>
  </si>
  <si>
    <t>批量查询</t>
  </si>
  <si>
    <t>PY_004</t>
  </si>
  <si>
    <t>数据批导</t>
  </si>
  <si>
    <t>PY_005</t>
  </si>
  <si>
    <t>定薪管理-录用和定薪合并</t>
  </si>
  <si>
    <t>PY_006</t>
  </si>
  <si>
    <t>定薪管理-录用和定薪分开</t>
  </si>
  <si>
    <t>PY_007</t>
  </si>
  <si>
    <t>定薪管理-入职定薪</t>
  </si>
  <si>
    <t>PY_008</t>
  </si>
  <si>
    <t>个别调薪-转正/异动触发调薪</t>
  </si>
  <si>
    <t>PY_009</t>
  </si>
  <si>
    <t>个别调薪-直接发起调薪</t>
  </si>
  <si>
    <t>整体调薪</t>
  </si>
  <si>
    <t>工资核算</t>
  </si>
  <si>
    <t>奖金核算</t>
  </si>
  <si>
    <t>薪酬报账</t>
  </si>
  <si>
    <t>薪酬报表设置</t>
  </si>
  <si>
    <t>薪酬报表查看与导出</t>
  </si>
  <si>
    <t>薪酬体系统查看与维护</t>
  </si>
  <si>
    <t>岗位津补贴查看与维护</t>
  </si>
  <si>
    <t>职级津补贴查看与维护</t>
  </si>
  <si>
    <t>集团薪酬科目查看与导出</t>
  </si>
  <si>
    <t>企业薪酬科目查看与维护</t>
  </si>
  <si>
    <t>PY_101</t>
  </si>
  <si>
    <t>核算规则</t>
  </si>
  <si>
    <t>工资入离职折算</t>
  </si>
  <si>
    <t>PY_102</t>
  </si>
  <si>
    <t>月中调薪工资折算</t>
  </si>
  <si>
    <t>PY_103</t>
  </si>
  <si>
    <t>工龄工资核算</t>
  </si>
  <si>
    <t>PY_104</t>
  </si>
  <si>
    <t>全勤奖奖金核算</t>
  </si>
  <si>
    <t>PY_105</t>
  </si>
  <si>
    <t>津补贴折算</t>
  </si>
  <si>
    <t>PY_106</t>
  </si>
  <si>
    <t>职称（执业）津贴&amp;技能津贴核算</t>
  </si>
  <si>
    <t>PY_107</t>
  </si>
  <si>
    <t>值班/早班/中班/夜班费计算</t>
  </si>
  <si>
    <t>PY_108</t>
  </si>
  <si>
    <t>加班费核算</t>
  </si>
  <si>
    <t>PY_109</t>
  </si>
  <si>
    <t>旷工/事假/哺乳假/产前假扣款核算</t>
  </si>
  <si>
    <t>PY_110</t>
  </si>
  <si>
    <t>病假扣款核算</t>
  </si>
  <si>
    <t>PY_111</t>
  </si>
  <si>
    <t>年假折现工资核算</t>
  </si>
  <si>
    <t>PY_112</t>
  </si>
  <si>
    <t>实习费用核算</t>
  </si>
  <si>
    <t>PY_113</t>
  </si>
  <si>
    <t>工资回算核算</t>
  </si>
  <si>
    <t>PY_114</t>
  </si>
  <si>
    <t>工会会费&amp;工会经费核算</t>
  </si>
  <si>
    <t>PY_115</t>
  </si>
  <si>
    <t>独生子女费核算</t>
  </si>
  <si>
    <t>PY_116</t>
  </si>
  <si>
    <t>社保福利核算</t>
  </si>
  <si>
    <t>PY_117</t>
  </si>
  <si>
    <t>个税核算-综合所得计税</t>
  </si>
  <si>
    <t>PY_118</t>
  </si>
  <si>
    <t>个税核算-一次性奖金计税</t>
  </si>
  <si>
    <t>PY_119</t>
  </si>
  <si>
    <t>个税核算-劳务报酬所得计税</t>
  </si>
  <si>
    <t>PY_120</t>
  </si>
  <si>
    <t>个税核算-经济补偿金计税</t>
  </si>
  <si>
    <t>PY_121</t>
  </si>
  <si>
    <t>个税核算-残疾人减免计税</t>
  </si>
  <si>
    <t>PY_122</t>
  </si>
  <si>
    <t>其他税后薪酬科目核算</t>
  </si>
  <si>
    <t>PY_123</t>
  </si>
  <si>
    <t>欠款清偿</t>
  </si>
  <si>
    <t>PY_124</t>
  </si>
  <si>
    <t>最低工资补差核算</t>
  </si>
  <si>
    <t>返回</t>
  </si>
  <si>
    <t>一.对应的业务场景</t>
  </si>
  <si>
    <t>业务场景编号</t>
  </si>
  <si>
    <t>描述</t>
  </si>
  <si>
    <t>本案例测试结果</t>
  </si>
  <si>
    <t>1</t>
  </si>
  <si>
    <t>二.测试步骤</t>
  </si>
  <si>
    <t>测试步骤</t>
  </si>
  <si>
    <t>功能路径</t>
  </si>
  <si>
    <t>输入数据/特殊信息</t>
  </si>
  <si>
    <t>预期结果</t>
  </si>
  <si>
    <t>实际结果</t>
  </si>
  <si>
    <t>测试人/测试小组</t>
  </si>
  <si>
    <t>正确/错误</t>
  </si>
  <si>
    <t>测试截图</t>
  </si>
  <si>
    <t>对应问题清单序号</t>
  </si>
  <si>
    <t>进入“薪酬数据”</t>
  </si>
  <si>
    <t>DHR-&gt;人事工作台-&gt;薪酬数据</t>
  </si>
  <si>
    <t>1.登录DHR系统。
2.进入“薪酬数据”菜单</t>
  </si>
  <si>
    <t>进入“单个维护”</t>
  </si>
  <si>
    <t>DHR-&gt;人事工作台-&gt;薪酬数据-&gt;单个维护</t>
  </si>
  <si>
    <t>1.点击“单个维护”
2.在组织树中找到员工所在的组织，找到人员列表中的员工点击编辑进入薪酬主数据页面；或者点击“按员工信息检索”搜索到员工后点击“确认”进入薪酬主数据页面</t>
  </si>
  <si>
    <t>查看“薪酬数据”</t>
  </si>
  <si>
    <t>1.列表页查看各信息集概要信息，点击某一信息集的“查看”按钮，查看信息集明细信息</t>
  </si>
  <si>
    <t>维护“薪酬数据”</t>
  </si>
  <si>
    <t>1.点击各信息集的“编辑”按钮，弹出信息集明细页面，对现有的数据可以修改点击”确定“后保存实时生效；
2.点击”新增“按钮新增新一条数据，点击”确定“后实时生效；
3.选中一条数据后点击“删除”，弹出提示窗口询问”是否确定删除“，点击”确认“，该数据实时被删除</t>
  </si>
  <si>
    <t>进入“单个查询”</t>
  </si>
  <si>
    <t>DHR-&gt;人事工作台-&gt;薪酬数据-&gt;批量查询</t>
  </si>
  <si>
    <t>1.点击“单个查询”
2.在组织树中找到员工所在的组织，找到人员列表中的员工点击编辑进入薪酬主数据页面；或者点击“按员工信息检索”搜索到员工后点击“确认”进入薪酬主数据页面</t>
  </si>
  <si>
    <t>进入“批量维护“</t>
  </si>
  <si>
    <t>DHR-&gt;人事工作台-&gt;薪酬数据-&gt;批量维护</t>
  </si>
  <si>
    <t>1.点击“批量维护”
2.按薪酬核算范围配置各单位的数据模板</t>
  </si>
  <si>
    <t>1.点击筛选，筛选需要维护的算薪期间和薪酬核算范围
2.查询后，维护数据至表中，点击保存即生效
3.也可以点击导出，导出查询出的数据至EXCEL修改，修改完毕后将原表导入，点击保存完成修改</t>
  </si>
  <si>
    <t>进入“批量查询”</t>
  </si>
  <si>
    <t>1.能够进行批量查询的前提是配置了“薪酬报表设置”中报表类型为“薪酬数据表”的报表模板，需提前配置好对应单位的报表模板
2.筛选需要查看的核算范围和算薪期间
3.点击查看，查询数据</t>
  </si>
  <si>
    <t>三.测试结果</t>
  </si>
  <si>
    <t>确认日期</t>
  </si>
  <si>
    <t>确认人</t>
  </si>
  <si>
    <t>其他说明</t>
  </si>
  <si>
    <t>YYYYMMDD</t>
  </si>
  <si>
    <t>进入“批量维护”</t>
  </si>
  <si>
    <t>1.点击“批量维护”菜单</t>
  </si>
  <si>
    <t>“模板配置”</t>
  </si>
  <si>
    <t>1.首次使用或批量维护工资项目有变化时，需操作"模板配置"
2.根据各算薪酬主体实际使用情况，设置或调整批量维护模板中的工资项目及备注项目栏</t>
  </si>
  <si>
    <t>1.筛选条件中选择工资核算类型、月份、工资核算范围组等
2.系统根据输入的筛选条件将员工、原津补贴金额自动带出
3.根据本工资、奖金核算期间维护变动的津补贴金额及考勤结果
4.数据维护完成后，操作"保存"，数据回写DHR</t>
  </si>
  <si>
    <t>导入、导出</t>
  </si>
  <si>
    <t>1.批量维护支持导入、导出
2.根据筛选条件导出“批量维护”数据模板，用户在Excel中编辑确认完数据后，操作导入，即可实现数据一键加载
3.确认加载的数据无误后，操作“保存”，数据回写DHR</t>
  </si>
  <si>
    <t>刷新数据</t>
  </si>
  <si>
    <t>1.若数据有变化，操作“刷新数据”，查询报表数据更新</t>
  </si>
  <si>
    <t>1.“批量查询”功能使用的先决条件，需在“薪酬报表设置”中，配置相应工资核算范围组，薪酬报表分类为“薪酬数据表”的模板
2.点击“批量查询”菜单</t>
  </si>
  <si>
    <t>1.根据实际情况维护筛选条件
2.系统根据输入的筛选条件，输出各类维护在岗位、职级及常量表中的津补贴标准、独生子女费、高温费、中、夜班费标准等
3.操作“导出所有”，即可将输出的数据成功下载到EXCEL表中</t>
  </si>
  <si>
    <t>进入“数据批导”</t>
  </si>
  <si>
    <t>DHR-&gt;人事工作台-&gt;薪酬数据-&gt;数据批导</t>
  </si>
  <si>
    <t>1.点击“数据批导”菜单</t>
  </si>
  <si>
    <t>查看进入“历史批导记录”</t>
  </si>
  <si>
    <t>1.如果是批导失败的记录，点击“失败条目数”会弹出详情窗口，查看导入明细、失败条目和原因
2.查看没有失败的记录，点击该条记录的”详情“会弹出详情窗口，查看导入明细</t>
  </si>
  <si>
    <t>下载“批导模板”</t>
  </si>
  <si>
    <t>1.固定薪酬、经常性支付、变动性支付、非周期性支付模板：选择对应的薪酬信息集的行式模板，点击”模板下载“后弹出窗口，选择对应的主体、工资范围后会弹出允许选择的工资科目，点击预览数据会弹出”数据预览“窗口，如需要筛选员工组，选择对应员工组后点击”导出“，模板会下载到本地；
2.其他薪酬信息集模板：选择对应的薪酬信息集，点击下载模板，选择好人员后导出模板</t>
  </si>
  <si>
    <t>批导数据</t>
  </si>
  <si>
    <t>1.在对应模板填写完数据后，选择好"信息类型"，点击批导数据；
2.在弹出的窗口上传附件，确认好数据无误后后，点击"确认导入"</t>
  </si>
  <si>
    <t>DHR-&gt;人事工作台-&gt;招聘管理</t>
  </si>
  <si>
    <t>1.登录DHR系统。
2.进入“招聘管理”菜单，完成招聘需求申请操作</t>
  </si>
  <si>
    <t>进入录用管理</t>
  </si>
  <si>
    <t>DHR-&gt;人事工作台-&gt;招聘管理-&gt;录用管理</t>
  </si>
  <si>
    <t>1.进入“录用管理”菜单
2.点击“新增录用”
3.本次流程是否同步定薪选择“是”</t>
  </si>
  <si>
    <t>维护定薪录用表单</t>
  </si>
  <si>
    <t>1.维护录用信息（需前序完成招聘需求申请操作）
2.维护录用表单中的各项薪酬数据（固定薪酬中，针对超出薪级薪档对应标准的金额，会弹出提示）
3.发起录用流程或直接生效</t>
  </si>
  <si>
    <t>完成入职</t>
  </si>
  <si>
    <t>DHR-&gt;人事工作台-&gt;招聘管理-&gt;录用管理/入职管理</t>
  </si>
  <si>
    <t>1.完成录用通知及offer发放
2.完成信息采集
3.推送至入职，入职成功后检查人员薪资相关数据是否完整准确</t>
  </si>
  <si>
    <t>进入“招聘管理”</t>
  </si>
  <si>
    <t>1.登录DHR系统。
2.进入“招聘管理”菜单</t>
  </si>
  <si>
    <t>1.进入“录用管理”菜单
2.点击“新增录用”</t>
  </si>
  <si>
    <t>维护录用表单</t>
  </si>
  <si>
    <t>1.维护录用信息（需前序完成招聘需求申请操作），字段“本次流程是否同步定薪”中选择“否”
2.维护完成后发起录用，此时“定薪管理”中会自动生成一条该候选人的定薪待办</t>
  </si>
  <si>
    <t>进入“定薪管理”</t>
  </si>
  <si>
    <t>DHR-&gt;人事工作台-&gt;薪酬数据-&gt;定薪管理</t>
  </si>
  <si>
    <t>1.进入“定薪管理”菜单</t>
  </si>
  <si>
    <t>维护定薪数据</t>
  </si>
  <si>
    <t>1.定薪管理待处理列表中找到该候选人，点击查看进入定薪详情表单
2.维护薪酬数据后，发起流程（固定薪酬中，针对超出薪级薪档对应标准的金额，会弹出提示）；如无需发起流程，则点击保存后续发起
3.流程审批通过时，定薪维护的薪酬数据随录用人员入职后生效</t>
  </si>
  <si>
    <t>进入“人事事件”</t>
  </si>
  <si>
    <t>DHR-&gt;人事工作台-&gt;入职管理</t>
  </si>
  <si>
    <t>1.登录DHR系统。
2.进入“入职管理”菜单</t>
  </si>
  <si>
    <t>进入“入职管理”</t>
  </si>
  <si>
    <t>DHR-&gt;人事工作台-&gt;入职管理-&gt;入职办理</t>
  </si>
  <si>
    <t>1.进入“入职办理”菜单
2.点击“新增入职（全版）”或者“新增入职（简版）”
3.维护入职信息，入职成功后会自动生成一条“入职定薪”待办至定薪管理</t>
  </si>
  <si>
    <t>1.定薪管理待处理列表中找到已入职员工的定薪待办，点击查看进入定薪详情表单
2.维护薪酬数据后，发起流程（固定薪酬中，针对超出薪级薪档对应标准的金额，会弹出提示）；如无需发起流程，则点击保存后续发起
3.流程审批通过时，定薪维护的薪酬数据即时生效，进入数据维护找到该员工检查薪酬数据是否完整准确</t>
  </si>
  <si>
    <t>进入“试用期管理-转正管理”或“异动管理-职务岗位变动 / 异动管理-人员分类变化  ”</t>
  </si>
  <si>
    <t>DHR-&gt;人事工作台-&gt;人事事件</t>
  </si>
  <si>
    <t>1.登录DHR系统。
2.进入“试用期管理-转正管理”或“异动管理-职务岗位变动 / 异动管理-人员分类变化  ”菜单</t>
  </si>
  <si>
    <t>维护人事事件</t>
  </si>
  <si>
    <t>DHR-&gt;人事工作台-&gt;人事事件-&gt;试用期管理-转正管理/异动管理-职务岗位变动/异动管理-人员分类变化</t>
  </si>
  <si>
    <t>1.维护转正（如维护转正事件则需要员工为在岗职工且是试用员工）或异动（职务岗位变动或人员分类变化），系统自动触发个别调薪待办；
2.转正/异动（职务岗位变动或人员分类变化）流程结束后，针对转正或异动（职务岗位变动或人员分类变化）的员工会自动创建一条个别调薪待办至个别调薪功能</t>
  </si>
  <si>
    <t>进入“个别调薪”</t>
  </si>
  <si>
    <t>DHR-&gt;人事工作台-&gt;薪酬数据-&gt;个别调薪</t>
  </si>
  <si>
    <t>1.如需调薪，则维护调薪后的数据，如不需调薪则点击不调整；同时可以检查调薪前数据是否完整准确
2.需要调薪的待办维护调薪数据后发起调薪流程（固定薪酬中，针对超出薪级薪档对应标准的金额，会弹出提示）
3.如需发送调薪通知，则在字段“是否发送调薪通知”选择“是”
4.流程通过后调薪生效，进入“数据维护”找到该员工查看薪酬数据是否完整准确更新
5.针对流程正在审批未审批通过的调薪流程，可在“处理中”页签中对该调薪流程查看审批进度并撤回。</t>
  </si>
  <si>
    <t>预览调薪通知</t>
  </si>
  <si>
    <t>1.操作“调薪通知”页签可以预览发送给员工的调薪通知内容
2.如果在个别调薪页的‘是否发送调薪通知’字段中填写的‘是’，在流程审批完成后，系统自动给员工工作邮箱及消息中心发送调薪通知</t>
  </si>
  <si>
    <t>1.进入“个别调薪”菜单，点击“新建调薪”，弹出人员检索窗口，找到需要调薪的人员后点击“确定”弹出维护调薪页面
2.如需调薪，则维护调薪后的数据，如不需调薪则删除该条调薪待办；同时可以检查调薪前数据是否完整准确
3.需要调薪的待办维护调薪数据后发起调薪流程（固定薪酬中，针对超出薪级薪档对应标准的金额，会弹出提示），暂时不需要发起调薪流程的，可点击保存保存草稿，后续可以删除草稿或进入草稿重新编辑、发起流程
4.如需发送调薪通知，则在字段“是否发送调薪通知”选择“是”
5.流程通过后调薪生效，进入“数据维护”找到该员工查看薪酬数据是否完整准确更新
6.针对流程正在审批未审批通过的调薪流程，可在“处理中”页签中对该调薪流程查看审批进度并撤回。</t>
  </si>
  <si>
    <t>进入“薪酬核算”</t>
  </si>
  <si>
    <t>DHR-&gt;人事工作台-&gt;薪酬核算</t>
  </si>
  <si>
    <t>1.登录DHR系统。
2.进入“薪酬核算”菜单</t>
  </si>
  <si>
    <t>进入“工资核算”</t>
  </si>
  <si>
    <t>DHR-&gt;人事工作台-&gt;薪酬核算-&gt;工资核算</t>
  </si>
  <si>
    <t>1.进入“工资核算”菜单</t>
  </si>
  <si>
    <t>创建薪酬核算任务</t>
  </si>
  <si>
    <t>1.点击“创建”，选择“薪酬核算范围组”系统根据工资核算状态自动默认“核算期间”，点击“确定”</t>
  </si>
  <si>
    <t>准备</t>
  </si>
  <si>
    <t>1.在核算的第一个“准备”步骤中可了解影响本月工资核算的在途人事事件，定薪管理及个别调薪流程全景；点击流程对应的“查看”功能按钮，可了解对应在途流程的人员清单；双击类型中相应的"人事事件"或"定薪管理"或"个别调薪"，自动切换到对应流程专项管理菜单
2.核准算薪期间人员名单即“当月算薪名单”页签中的人员;关注“人事异动名单”“离职算薪名单”及“离职停薪名单"中相应员工的薪酬数据
3.针对已离职但需要在本月进行算薪的员工，可在”离职停薪名单“中搜索到员工后勾选该员工点击“加入本次算薪”
4.针对已离职本月本应算薪但不想再继续算薪的在”离职算薪名单“中找到员工后勾选该员工点击”排除本次算薪“
5.当月算薪人员名单 = 薪酬核算期间在职人员  + 离职算薪名单
6.操作"薪酬数据批导"可自动跳转到"薪酬数据批导"菜单，通过标准化模板快速导入考勤、变动性支付等数据</t>
  </si>
  <si>
    <t>数据核对</t>
  </si>
  <si>
    <t>1.在“准备”步骤完成后，点击“下一步”或点击核算时间轴中的“数据核对”按钮，进入数据核对环节
2.核准本发薪酬期间的固定薪酬、津补贴、变动性支付薪酬科目及考勤结果数据
3.如若实际发放数据与系统数据存在差异，可在此页面维护或通过“导入”“导出”功能批量维护
4.操作"模拟核算"功能按钮，在工资模拟完成后，可查看到工资核算过程中的警示或错误信息，提前暴露数据异常。</t>
  </si>
  <si>
    <t>1.在“数据核对”步骤完成后点击“下一步”或点击核算时间轴中的“工资核算”按钮，进入工资核算环节
2.点击工资核算，工资核算完成后，会在“我的通知”中知会操作人员；正式核算完成后操作“查看核算结果”；通过“运行信息”页签可知道正式工资核算整体情况，及可查看到工资核算过程中的警示或错误信息；在“环比对比表”可了解到本期及上期工资核算人数，实发总额，应发总额对比情况
3.如果工资核算过程中有失败人数或计算过程中有警告消息，需回退到上一步“数据核对”，并将警告/错误日志中的数据维护完整
4.在数据维护完整后，重复之前的操作，点击“重新核算”或操作“查看核算结果”，找到对应计算失败的员工对应操作中的“单独核算”</t>
  </si>
  <si>
    <t>工资复核</t>
  </si>
  <si>
    <t>1.在“工资核算”完成后点击“下一步”或点击核算时间轴中的“工资复核”按钮，进入工资复核环节
2.核对工资明细表、工资汇总表、工资变动表中的数据，如果在核对数据时发现本期不应核算工资的员工，核算了工资，则搜索到相应员工，勾选后点击“删除工资结果”，该员工的本期算薪结果被删除且无需重新核算；如有缺失的员工则需返回数据核对步骤添加该员工后重新进行工资核算。</t>
  </si>
  <si>
    <t>工资审批</t>
  </si>
  <si>
    <t>1.在“工资复核”无任何问题后，点击“下一步”或点击核算时间轴中的“工资审批”按钮，进入工资审批环节
2.初使进入“工资审批”页，在‘待制表列表’中，自动根据最新工资核算结果生成薪酬审批单据，操作‘编辑’功能按钮，对该创建的任务点击编辑，可编辑自动带出的流程标题和摘要信息，点击“提交审批”，则直接发起工资审批流程，并将该任务流转至“审批中列表”，未审批完成的流程可点击”撤回“进行撤回，也可以点击”审批进度“实时查看流程进度
3.流程审批通过后，该条流程数据会自动转移到“已完成列表”，对应的操作中点击“薪酬报帐”，自动跳转至““薪酬报帐”功能菜单</t>
  </si>
  <si>
    <t>退出工资核算</t>
  </si>
  <si>
    <t>1.在“工资审批”完成，且工资报帐及银行报盘完成后，点击“下一步”或点击核算时间轴中的“退出工资核算”按钮，进入退出工资核算环节
2.点击”退出工资核算“按钮，弹出确认窗口，点击确认，退出工资核算</t>
  </si>
  <si>
    <t>开放工资单查询</t>
  </si>
  <si>
    <t>1.在成功操作“退出工资核算”后，工资核算流程转至“已完成列表”
2.点击“开放工资单查询”按钮，弹出再次确认，点击确认，员工可在员工门户或移动端自助查询工资信息</t>
  </si>
  <si>
    <t>进入“薪酬核算发放”</t>
  </si>
  <si>
    <t>进入“奖金核算”</t>
  </si>
  <si>
    <t>DHR-&gt;人事工作台-&gt;薪酬核算-&gt;奖金核算</t>
  </si>
  <si>
    <t>1.进入“奖金核算”菜单</t>
  </si>
  <si>
    <t>创建奖金核算任务</t>
  </si>
  <si>
    <t>1.点击“创建”，选择“薪酬核算范围组”和“非周期核算日期”后点击确定
2.此时会创建一条该奖金核算范围组的奖金核算任务，如薪酬核算范围组或非周期核算日期选择错误，则可在“处理中”列表中删除该任务，</t>
  </si>
  <si>
    <t>1.核准奖金发放人员名单即“当月算薪名单”页签中的人员;关注“离职算薪名单”
2.针对已离职但需要在本月进行算薪的员工，可在”离职停薪名单“中搜索到员工后勾选该员工点击“加入本次算薪”</t>
  </si>
  <si>
    <t>1.在“准备”步骤完成后，点击“下一步”或点击核算时间轴中的“数据核对”按钮，进入数据核对环节
2.核准本期奖金发放数据
3.如若实际发放数据与系统数据存在差异，可在此页面维护或通过“导入”“导出”功能批量维护
4.操作"模拟核算"功能按钮，在工资模拟完成后，可查看到工资核算过程中的警示或错误信息，提前暴露数据异常。</t>
  </si>
  <si>
    <t>1.在“数据核对”步骤中点击“下一步”或点击核算时间轴中的“奖金核算”按钮，进入奖金核算环节
2.点击奖金核算，奖金核算完成后，会在“我的通知”中知会操作人员；正式核算完成后操作“查看核算结果”；通过“本次运行信息”页签可知道正式奖金核算整体情况，及可查看到工资核算过程中的警示或错误信息；
3.如果工资核算过程中有失败人数或计算过程中有警告消息，需回退到上一步“数据核对”，并将警告/错误日志中的数据维护完整
4.在数据维护完整后，重复之前的操作，点击“重新核算”或操作“查看核算结果”，找到对应计算失败的员工对应操作中的“单独核算”</t>
  </si>
  <si>
    <t>奖金复核</t>
  </si>
  <si>
    <t>1.在“奖金核算”完成后，点击“下一步”或点击核算时间轴中的“奖金复核”按钮，进入奖金复核环节
2.核对奖金明细表、奖金汇总表中的数据，如果在核对奖金数据时发现本期不应核算奖金的员工，核算了奖金，则搜索到相应员工，勾选后点击“删除奖金结果”，该员工的本期算薪结果被删除且无需重新核算；如有缺失的员工则需返回数据核对步骤添加该员工后重新进行工资核算。</t>
  </si>
  <si>
    <t>奖金审批</t>
  </si>
  <si>
    <t>1.在“奖金复核”步骤中点击“下一步”或点击核算时间轴中的“奖金审批”按钮，进入奖金审批环节
2.初使进入“奖金审批”页，在‘待制表列表’中，自动根据最新奖金核算结果生成奖金审批单据，操作‘编辑’功能按钮，对创建的任务点击编辑，可编辑自动带出的流程标题和摘要信息，点击“提交审批”，则直接发起奖金制表审批流程，并将该任务流转至“审批中列表”，未审批完成的流程可点击”撤回“进行撤回，也可以点击”审批进度“实时查看流程进度
3.流程审批通过后，该条流程数据会自动转移到“已完成列表”，对应的操作中点击“薪酬报帐”，自动跳转至““薪酬报帐”功能菜单</t>
  </si>
  <si>
    <t>退出奖金核算</t>
  </si>
  <si>
    <t>1.在“奖金审批”完成，且工资报帐及银行报盘完成后，点击“下一步”或点击核算时间轴中的“退出工资核算”按钮，进入退出奖金核算环节
2.点击”退出奖金核算“按钮，弹出确认窗口，点击确认，退出奖金核算</t>
  </si>
  <si>
    <t>1.在成功操作“退出奖金核算”后，奖金核算流程转至“已完成列表”
2.点击“开放工资单查询”按钮，弹出再次确认，点击确认，员工可在员工门户或移动端自助查询奖金发放工资单信息</t>
  </si>
  <si>
    <t>进入“薪酬报账”</t>
  </si>
  <si>
    <t>DHR-&gt;人事工作台-&gt;薪酬核算-&gt;薪酬报账</t>
  </si>
  <si>
    <t>1.进入“薪酬报账”菜单</t>
  </si>
  <si>
    <t>创建薪酬计提/发放单</t>
  </si>
  <si>
    <t>1.点击“创建计提单”/”创建发放单“，在弹出的窗口中填写报账单据内容，点击确定后会自动获取、汇总工资及社保数据，生成报账单；如没有对应的工资数据，那么会提示没有对应数据
2.如果发现报账单创建有误，可在“已生成列表”中删除报账单</t>
  </si>
  <si>
    <t>提交报账单</t>
  </si>
  <si>
    <t>1.找到需要提交的报账单，点击“查看”按钮，核对报账单内容并填写流程所需信息后点击“提交报账”按钮，自动提交报账单至报账系统
2.提交报账单后，可点击“查看流程状态”查看报账流程进度
3.报账单在财务系统审批通过状态由“已生成”切换为“已完成”</t>
  </si>
  <si>
    <t>进入“薪酬设置”</t>
  </si>
  <si>
    <t>DHR-&gt;人事工作台-&gt;薪酬设置</t>
  </si>
  <si>
    <t>1.登录DHR系统。
2.进入“薪酬设置”菜单</t>
  </si>
  <si>
    <t>进入薪酬报表平台配置</t>
  </si>
  <si>
    <t>DHR-&gt;人事工作台-&gt;薪酬设置-&gt;薪酬报表设置</t>
  </si>
  <si>
    <t>1.进入“薪酬报表设置”菜单</t>
  </si>
  <si>
    <t>新建报表</t>
  </si>
  <si>
    <t>DHR-&gt;人事工作台-&gt;薪酬设置-&gt;薪酬报表平台配置</t>
  </si>
  <si>
    <t>1.点击“新建报表”按钮，维护“总部或二级单位”、“薪酬核算范围组”、“薪酬报表分类”和“报表名称”后，将可选的固定列加入模板中，确定后点击下一步
2.将左侧可选工资项添加至模板中，确定后点击保存，报表模板生成成功</t>
  </si>
  <si>
    <t>删除报表</t>
  </si>
  <si>
    <t>1.回到报表设置首页，选择要删除的模板，点击“删除报表”，在提示窗口中点击“确认”，报表模板被删除</t>
  </si>
  <si>
    <t>编辑报表</t>
  </si>
  <si>
    <t>1.回到报表设置首页，选择要调整的模板，点击“编辑报表”。
2.进入编辑页面后，首先调整“总部或二级单位”、“薪酬核算范围组”、“薪酬报表分类”和“报表名称”以及非工资固定列，调整完毕后点击下一步
3.进入下一步后，调整工资科目列，可进行添加或删除，调整完成后点击“保存”生效</t>
  </si>
  <si>
    <t>进入“报表查询”</t>
  </si>
  <si>
    <t>DHR-&gt;人事工作台-&gt;报表查询</t>
  </si>
  <si>
    <t>1.登录DHR系统。
2.进入“报表查询”菜单</t>
  </si>
  <si>
    <t>进入“薪酬自定义报表”</t>
  </si>
  <si>
    <t>DHR-&gt;人事工作台-&gt;报表查询-&gt;薪酬自定义报表</t>
  </si>
  <si>
    <t>1.进入“薪酬自定义报表”菜单</t>
  </si>
  <si>
    <t>查询“薪酬自定义报表”</t>
  </si>
  <si>
    <t>1.点击“筛选漏斗，填写查询条件，点击开始查询即生成报表</t>
  </si>
  <si>
    <t>进入“报表中心”</t>
  </si>
  <si>
    <t>DHR-&gt;人事工作台-&gt;报表中心-&gt;薪酬 -&gt; 个税、社保、公积金等其他分析报表</t>
  </si>
  <si>
    <t>1.点击需要查询的报表名称
2.点击“筛选漏斗，填写查询条件，点击开始查询即生成报表</t>
  </si>
  <si>
    <t>进入“薪酬体系维护”</t>
  </si>
  <si>
    <t>DHR-&gt;人事工作台-&gt;薪酬设置-&gt;薪酬体系维护</t>
  </si>
  <si>
    <t>1.点击“薪酬体系维护”</t>
  </si>
  <si>
    <t>查询薪/职级、薪/职档</t>
  </si>
  <si>
    <t>1.选择“适用企业”和“薪酬体系”，点击查询，查询当前已维护的薪/职级、薪/职档对应的工资科目和金额</t>
  </si>
  <si>
    <t>维护薪/职级、薪/职档</t>
  </si>
  <si>
    <t>1.维护、修改薪/职级、薪/职档、工资科目、金额、生效日期后，点击保存，实时生效
2.已应用的薪酬体系无法删除，只能修改科目金额标准</t>
  </si>
  <si>
    <t>进入“岗位津补贴”</t>
  </si>
  <si>
    <t>DHR-&gt;人事工作台-&gt;薪酬设置-&gt;岗位津补贴</t>
  </si>
  <si>
    <t>1.点击“岗位津补贴”菜单</t>
  </si>
  <si>
    <t>查看“岗位津补贴”</t>
  </si>
  <si>
    <t>1.查找岗位，在左侧组织树中找到岗位所属组织，点击该组织，在右侧岗位列表找到具体岗位，点击“查看”弹出明细窗口</t>
  </si>
  <si>
    <t>1.查找岗位，在左侧组织树中找到岗位所属组织，点击该组织，在右侧岗位列表找到具体岗位，点击“编辑”弹出明细窗口，删除、修改、新增数据后，点击保存实时生效</t>
  </si>
  <si>
    <t>进入“职级津补贴”</t>
  </si>
  <si>
    <t>DHR-&gt;人事工作台-&gt;薪酬设置-&gt;职级津补贴</t>
  </si>
  <si>
    <t>1.点击“职级津补贴”菜单</t>
  </si>
  <si>
    <t>1.查找职级，在左侧职级树中找到职级所在职级组，点击该职级组，在右侧职级列表找到具体职级，点击“查看”弹出明细窗口</t>
  </si>
  <si>
    <t>1.查找职级，在左侧组织树中找到职级所在职级组，点击该职级组，在右侧职级列表找到具体职级，点击“编辑”弹出明细窗口，删除、修改、新增数据后，点击保存实时生效</t>
  </si>
  <si>
    <t>进入“集团薪酬科目”</t>
  </si>
  <si>
    <t>DHR-&gt;人事工作台-&gt;薪酬设置-&gt;集团薪酬科目</t>
  </si>
  <si>
    <t>1.进入“集团薪酬科目”菜单</t>
  </si>
  <si>
    <t>查询筛选集团薪酬科目</t>
  </si>
  <si>
    <t>1.右上角筛选器可以通过不同条件组合查询想要查询的集团薪酬科目</t>
  </si>
  <si>
    <t>导出筛选集团薪酬科目</t>
  </si>
  <si>
    <t>1.点击右下角导出，可导出全量或根据筛选器过滤后的集团薪酬科目</t>
  </si>
  <si>
    <t>进入“企业薪酬科目”</t>
  </si>
  <si>
    <t>DHR-&gt;人事工作台-&gt;薪酬设置-&gt;企业薪酬科目</t>
  </si>
  <si>
    <t>1.进入“企业薪酬科目”菜单</t>
  </si>
  <si>
    <t>查看企业薪酬科目</t>
  </si>
  <si>
    <t>1.右上角筛选器可以通过不同条件组合查询想要查询的企业科目，点击“查看”查看企业薪酬科目信息明细</t>
  </si>
  <si>
    <t>维护企业薪酬科目</t>
  </si>
  <si>
    <t>1.点击新建，填写企业科目名称、科目定义、标准科目映射和组织范围生效日期后，点击确定即生效
2.对已有的企业科目，点击删除，二次确认后即可删除</t>
  </si>
  <si>
    <t>入离职工资折算</t>
  </si>
  <si>
    <t>数据维护</t>
  </si>
  <si>
    <t>DHR-&gt;薪酬数据-&gt;数据维护</t>
  </si>
  <si>
    <t>1.登录DHR系统。
2.点击”数据维护“菜单
3.维护固定薪酬信息，包含工资科目基本工资、岗位工资等信息
备注：
1.测试的人员为月中入职或月中离职人员
（如果折算规则采用21.75的计算方法，详见测试场景说明）
2.如已完成个别调薪流程，或已批量导入数据可不单独维护</t>
  </si>
  <si>
    <t>1.点击”数据维护“菜单
2.数据维护页面下维护考勤结果信息，维护应出勤天数、实际出勤天数、病假、事假、产假、旷工等考勤异常信息，用于测试入离职折算；
备注：倒班制员工，需维护实际出勤天数、应出勤天数；常白班制员工无需维护实际出勤天数、应出勤天数，系统可自动生成。</t>
  </si>
  <si>
    <t>DHR-&gt;薪酬核算-&gt; 工资核算</t>
  </si>
  <si>
    <t>1.点击”工资核算“菜单
2.完成工资核算步骤：准备、数据核对、工资核算</t>
  </si>
  <si>
    <t>核算结果查询</t>
  </si>
  <si>
    <t>DHR-&gt;薪酬核算-&gt; 工资核算 - 工资复核 - 工资明细表</t>
  </si>
  <si>
    <t>1.点击”工资核算“菜单
2.在工资复核界面查看工资明细表，查看基本工资、岗位工资入离职折算的金额是否正确
备注：工资明细表输出字段提前在报表平台配置</t>
  </si>
  <si>
    <t>四、测试场景说明：</t>
  </si>
  <si>
    <t>入、离职 21.75天折算规则</t>
  </si>
  <si>
    <r>
      <rPr>
        <b/>
        <sz val="10"/>
        <color indexed="8"/>
        <rFont val="仿宋"/>
        <charset val="134"/>
      </rPr>
      <t>1.1 当入职/离职所在月 员工缺勤天数（未在岗）&gt;= 11天</t>
    </r>
    <r>
      <rPr>
        <sz val="10"/>
        <color indexed="8"/>
        <rFont val="仿宋"/>
        <charset val="134"/>
      </rPr>
      <t xml:space="preserve">
计算规则：工资基数/21.75*(实际出勤天数+法定假日天数+病、事、旷、产假天数）</t>
    </r>
  </si>
  <si>
    <t>基本工资</t>
  </si>
  <si>
    <t>工作天+法定节假日</t>
  </si>
  <si>
    <t>入职/离职所在月的实际工作天+法定假日天</t>
  </si>
  <si>
    <t>基本工资+工资调整</t>
  </si>
  <si>
    <t>入职\离职月基本信息</t>
  </si>
  <si>
    <t>员工缺勤天数（未在岗） 21天</t>
  </si>
  <si>
    <r>
      <rPr>
        <b/>
        <sz val="10"/>
        <color indexed="8"/>
        <rFont val="仿宋"/>
        <charset val="134"/>
      </rPr>
      <t>1.2 当入职/离职所在月 员工缺勤天数（未在岗）&lt; 11天</t>
    </r>
    <r>
      <rPr>
        <sz val="10"/>
        <color indexed="8"/>
        <rFont val="仿宋"/>
        <charset val="134"/>
      </rPr>
      <t xml:space="preserve">
计算规则：工资基数/21.75*(21.75 - 缺勤天数(未在岗))</t>
    </r>
  </si>
  <si>
    <t>员工缺勤天数（未在岗） 7天</t>
  </si>
  <si>
    <t>1.登录DHR系统。
2.点击”数据维护“菜单
3.新建固定薪酬信息集，维护月中调薪信息，包含工资科目基本工资、岗位工资
备注：
1.已完成个别调薪流程可不维护固定薪酬
2.修改月中调薪日期，以测试不同场景的折算规则；如果月中调薪采用21.75折算规则，详见测试场景说明；</t>
  </si>
  <si>
    <r>
      <rPr>
        <b/>
        <sz val="10"/>
        <color indexed="8"/>
        <rFont val="仿宋"/>
        <charset val="134"/>
      </rPr>
      <t>1.1 当调薪后计薪天数（工作天 +  法定节假日 ）小于  11</t>
    </r>
    <r>
      <rPr>
        <sz val="10"/>
        <color indexed="8"/>
        <rFont val="仿宋"/>
        <charset val="134"/>
      </rPr>
      <t xml:space="preserve">
计算规则：调薪前基本工资/21.75*(调薪前工作天+调薪前法定假日天) + 调薪后基本工资/21.75*(21.75 - 调薪后工作天- 调薪后法定假日天)）</t>
    </r>
  </si>
  <si>
    <t>折算基本工资</t>
  </si>
  <si>
    <t>调薪前</t>
  </si>
  <si>
    <t>调薪后</t>
  </si>
  <si>
    <t>21.75-1</t>
  </si>
  <si>
    <t>小计</t>
  </si>
  <si>
    <r>
      <rPr>
        <b/>
        <sz val="10"/>
        <color indexed="8"/>
        <rFont val="仿宋"/>
        <charset val="134"/>
      </rPr>
      <t>1.2 调薪后计薪天数（工作天 +  法定节假日 ） 大于等于  11</t>
    </r>
    <r>
      <rPr>
        <sz val="10"/>
        <color indexed="8"/>
        <rFont val="仿宋"/>
        <charset val="134"/>
      </rPr>
      <t xml:space="preserve">
计算规则：调薪前基本工资/21.75* (21.75 -调薪前工作天- 调薪前法定假日天) + 调薪后基本工资/21.75*(调薪后工作天+调薪后法定假日天)）</t>
    </r>
  </si>
  <si>
    <t>21.75-9</t>
  </si>
  <si>
    <t>工龄起算日信息确认</t>
  </si>
  <si>
    <t>DHR-&gt;员工信息-&gt;信息维护 &gt; 关键日期</t>
  </si>
  <si>
    <t>1. 登录DHR系统。
2. 点击“信息维护”菜单
3. 查看关键日期里的字段“工龄起算日”是否维护及对应的日期
备注：可以调整工龄起算日期，以测试不同场景的工龄工资核算结果</t>
  </si>
  <si>
    <t>1.点击”工资核算“菜单
2.在工资复核界面查看工资明细表，查看工龄工资的金额是否正确
备注：
工资明细表输出字段提前在报表平台配置
有工龄工资的单位才会核算出金额，规则系统提前配置</t>
  </si>
  <si>
    <t>全勤奖奖金核算规则</t>
  </si>
  <si>
    <t>员工当月无任何休假（含病假、事假、产假）、旷工、迟到早退及非整月入离职情况的，发放全勤奖</t>
  </si>
  <si>
    <t>1.登录DHR系统。
2.点击”数据维护“菜单
3.数据维护页面下维护考勤结果信息，维护病假、事假、产假、旷工、迟到早退信息
备注: 
1.分别维护考勤异常、非整月入离职的人员，及无考勤异常和非整月入离职人员，核算对比对应全勤奖核算结果</t>
  </si>
  <si>
    <t>1.点击”工资核算“菜单
2.在工资复核界面查看工资明细表，查看全勤奖结果是否正确
备注：工资明细表输出字段提前在报表平台配置</t>
  </si>
  <si>
    <t>津补贴折算规则测试</t>
  </si>
  <si>
    <t>薪酬科目包括岗位津贴、外派津贴、兼职津贴、顶岗津贴、安全津贴、高温费、高温费日标准、低温费、学历津贴、交通补贴、通讯补贴、就餐补贴、就餐补贴日标准、住房补贴</t>
  </si>
  <si>
    <t>1.登录DHR系统。
2.点击“数据维护”菜单
3.数据维护页面下维护“经常性支付”和“变动性支付”，维护各项津补贴标准
4.数据维护页面下维护“考勤结果信息”，维护病假、事假、产假、旷工等考勤异常信息。
备注:  维护考勤异常信息、及选择非整月入离职的人员，用于测试津贴的折算规则</t>
  </si>
  <si>
    <t>1.点击”工资核算“菜单
2.在工资复核界面查看工资明细表，查看各项津补贴核算结果是否正确
备注：工资明细表输出字段提前在报表平台配置</t>
  </si>
  <si>
    <t>四.场景说明：选择21.75做为计薪天数单位，需测试特殊业务场景</t>
  </si>
  <si>
    <t>场景</t>
  </si>
  <si>
    <t>处理逻辑</t>
  </si>
  <si>
    <t>缺勤天数 &gt;= 11天</t>
  </si>
  <si>
    <t>津补贴基数/21.75*(实际出勤天数+法定假日天数)</t>
  </si>
  <si>
    <t>特殊处理，核算结果等于标准，不能超过标准</t>
  </si>
  <si>
    <t>缺勤天数 &lt; 11天</t>
  </si>
  <si>
    <t>津补贴基数/21.75*(21.75-缺勤天数)</t>
  </si>
  <si>
    <t>特殊处理，满勤核算结果等于标准</t>
  </si>
  <si>
    <t>场景说明</t>
  </si>
  <si>
    <t>计算规则</t>
  </si>
  <si>
    <t>场景一 倒扣：岗位工资：1000，员工2025.07.02入职，缺勤天数：10天（其中事假9天）；实际出勤天数：13</t>
  </si>
  <si>
    <t>津贴基数/21.75*(21.75-缺勤天数)               1000/21.75*(21.75-10)</t>
  </si>
  <si>
    <t>场景二 正给：岗位工资：1000，员工2025.07.30入职，缺勤天数：21天；实际出勤天数：2天</t>
  </si>
  <si>
    <t>津贴基数/21.75*(实际出勤天数+法定假日天数)      1000/21.75*2</t>
  </si>
  <si>
    <t xml:space="preserve"> 职称（执业）信息确认</t>
  </si>
  <si>
    <t>DHR-&gt;员工信息-&gt;信息维护 &gt; 职称（执业）津贴</t>
  </si>
  <si>
    <t>1. 登录DHR系统。
2. 点击“信息维护”菜单
3. 查看专业技术信息的字段“专业技术等级”信息</t>
  </si>
  <si>
    <t>技能信息确认</t>
  </si>
  <si>
    <t>1. 点击“信息维护”菜单
2. 查看职业技能信息的字段“职业技能等级”信息</t>
  </si>
  <si>
    <t>查看员工花名册</t>
  </si>
  <si>
    <t>DHR-&gt;报表管理-&gt;报表中心 &gt; 员工花名册</t>
  </si>
  <si>
    <t>1.点击“报表中心”菜单
2. 进入“员工花名册”报表页面
3.输入查询条件人员编号、组织机构等查询条件，查询员工花名册
4. 查看查看员工花名册专业技术等级、职业技能等级信息</t>
  </si>
  <si>
    <t xml:space="preserve">1.点击“数据维护”菜单
2.数据维护页面下维护“考勤结果信息”，维护病假、事假、产假、旷工等信息
备注: 
维护考勤异常信息、非整月入离职的人员，用于测试津贴的折算规则
</t>
  </si>
  <si>
    <t>1.点击”工资核算“菜单
2.在工资复核界面查看工资明细表，查看职称（执业）津贴&amp;技能津贴金额是否正确
备注：工资明细表输出字段提前在报表平台配置</t>
  </si>
  <si>
    <t>1.登录DHR系统。
2.点击“数据维护”菜单
3.在“考勤结果信息”信息集中，维护考勤数据，考勤数据的科目包含：
早班天数、中班天数、晚班天数、工作日值班天数、休息日值班天数
法定假日值班天数、工作日夜间值班天数、休息日夜间值班天数
休息日白天值班天数、法假白天值班天数、法假夜间值班天数
防台防汛工作日值班天数、防台防汛休息日值班天数、月值班天数
月值班小时数
备注：有值班/早班/中班/夜班费的单位，其标准在后台配置</t>
  </si>
  <si>
    <t>1.点击”工资核算“菜单
2.在工资复核界面查看工资明细表，查看值班/早班/中班/夜班费计算结果是否正确
备注：工资明细表输出字段提前在报表平台配置</t>
  </si>
  <si>
    <t>加班费核算规则</t>
  </si>
  <si>
    <t>1.登录DHR系统。
2.点击“数据维护”菜单
3.在“考勤结果信息”信息集中，维护考勤数据，考勤科目包含：平日加班时数、休息日加班时数、法定假日加班时数、平日加班天数、休息日加班天数、法定假日加班天数</t>
  </si>
  <si>
    <t>1.点击”工资核算“菜单
2.在工资复核界面查看工资明细表，查看加班费计算结果是否正确
备注：工资明细表输出字段提前在报表平台配置</t>
  </si>
  <si>
    <t>旷工/事假/产假扣款核算</t>
  </si>
  <si>
    <t>1.登录DHR系统。
2.点击“数据维护”菜单
3.在“考勤结果信息”信息集中，维护考勤数据，考勤数据包含：
事假天数、事假时数、旷工天数、产假天数
备注：考勤扣款的核算基数按单位在后台配置</t>
  </si>
  <si>
    <t>1.点击”工资核算“菜单
2.在工资复核界面查看工资明细表，查看旷工/事假/产假扣款结果是否正确</t>
  </si>
  <si>
    <t>病、事、旷、产休假天数 &gt;= 11天</t>
  </si>
  <si>
    <t>正给：休假扣款基数/21.75 * (21.75 -实际出勤天数 )</t>
  </si>
  <si>
    <t>病、事、旷、产休假天数 &lt; 11天</t>
  </si>
  <si>
    <t xml:space="preserve">倒扣：休假扣款基数/21.75*病、事、旷、产休假天数 </t>
  </si>
  <si>
    <t>场景一 倒扣：员工2025.07月 岗位工资 10000，实际出勤天数：22；事假天数：1天</t>
  </si>
  <si>
    <t>休假扣款基数/21.75*病、事、旷、产休假天数
10000/21.75*1</t>
  </si>
  <si>
    <t>场景二 正给：员工2025.07月 岗位工资 10000，实际出勤天数：1；事假天数：22天</t>
  </si>
  <si>
    <t>工资基数/21.75*(21.75 -实际出勤天数)
10000/21.75*（21.75-1）</t>
  </si>
  <si>
    <t xml:space="preserve">1.登录DHR系统。
2.点击“数据维护”菜单
3.在“考勤结果信息”信息集中，维护病假天数或病假小时数
</t>
  </si>
  <si>
    <t>1. 点击“信息维护”菜单
2. 查看关键日期里的字段“工龄起算日”信息
备注：可维护不同的工龄起算日期，以测试不同的病假扣款比例</t>
  </si>
  <si>
    <t>1.登录DHR系统。
2.进入“数据维护”功能页面
3.数据维护页面下维护“固定薪酬”“经常性支付”，“变动性支付”信息集中的工资科目金额，调整工资金额以测试最低工资标准</t>
  </si>
  <si>
    <t>1.点击”工资核算“菜单
2.在工资复核界面查看工资明细表，查看病假扣款结果是否正确</t>
  </si>
  <si>
    <t>病假天数确认规则：</t>
  </si>
  <si>
    <t>员工病假天数是正给还是倒扣算法同样适用于其休假天数是否大于11天，大于等于11天则病假天数为：(21.75 -实际出勤天数 )
 小于11天，则病假天数为实际病假休假天数</t>
  </si>
  <si>
    <t>上海病假扣款规则</t>
  </si>
  <si>
    <t>一、上海病假规则：</t>
  </si>
  <si>
    <t>1、连续工龄不满2年；     核算基数/174（或21.75）*40%*病假时数（或天数）：</t>
  </si>
  <si>
    <t>2、连续工龄满2年不满4年：核算基数/174（或21.75）*30%*病假时数（或天数）；</t>
  </si>
  <si>
    <t>3、连续工龄满4年不满6年：核算基数/174（或21.75）*20%*病假时数（或天数）；</t>
  </si>
  <si>
    <t>4、连续工龄满6年不满8年：核算基数/174（或21.75）*10%*病假时数（或天数）；</t>
  </si>
  <si>
    <t>5、连续工龄满8年及以上： 核算基数/174（或21.75）*0%*病假时数（或天数）</t>
  </si>
  <si>
    <t>二、工龄计算规则：取员工‘工龄起算日期’</t>
  </si>
  <si>
    <t>三、当月存在病假，且无事假、旷工、非整月入离职的情形，当月工资（应发工资  - 加班费 - 各类津补贴 -  三险一金  - 个税  -  工会会费）不低于最低工资标准的80%    </t>
  </si>
  <si>
    <t>苏州病假扣款规则</t>
  </si>
  <si>
    <t>1、6年&gt;员工工龄，扣款金额：岗位工资/21.75 *20% *病假天数</t>
  </si>
  <si>
    <t>2、6年≤员工工龄&lt;8年，扣款金额：岗位工资/21.75 *10% *病假天数，</t>
  </si>
  <si>
    <t>3、8年≤员工工龄，不扣款</t>
  </si>
  <si>
    <t>病假扣款计算基数为基本工资/岗位工资或应发工资的70%</t>
  </si>
  <si>
    <t>1、连续工龄不满2年；     基本工资/岗位工资或应发工资的70%/174（或21.75）*40%*病假时数（或天数） +  基本工资/岗位工资或应发工资的30%/174（或21.75）病假时数（或天数）</t>
  </si>
  <si>
    <t>2、连续工龄满2年不满4年：基本工资/岗位工资或应发工资的70%/174（或21.75）*30%*病假时数（或天数） +  基本工资/岗位工资或应发工资的30%/174（或21.75）病假时数（或天数）；</t>
  </si>
  <si>
    <t>3、连续工龄满4年不满6年：基本工资/岗位工资或应发工资的70%/174（或21.75）*20%*病假时数（或天数） +  基本工资/岗位工资或应发工资的30%/174（或21.75）病假时数（或天数）</t>
  </si>
  <si>
    <t>4、连续工龄满6年不满8年：基本工资/岗位工资或应发工资的70%/174（或21.75）*10%*病假时数（或天数） +  基本工资/岗位工资或应发工资的30%/174（或21.75）病假时数（或天数）</t>
  </si>
  <si>
    <t>年假折现核算</t>
  </si>
  <si>
    <t>1.登录DHR系统。
2.点击“数据维护”菜单
3.在“考勤结果信息”信息集中，维护年假折算天数</t>
  </si>
  <si>
    <t>1.点击”工资核算“菜单
2.在工资复核界面查看工资明细表，查看年假折现结果是否正确</t>
  </si>
  <si>
    <t>实习费用核算规则</t>
  </si>
  <si>
    <t>1.登录DHR系统
2.点击“数据维护”菜单
3.测试人员是月薪实习生，在数据维护页面下，“固定薪酬”信息集中维护实习费用工资科目
4.测试人员是日薪实习生，日薪标准在后台配置，无需维护</t>
  </si>
  <si>
    <t>1.点击“数据维护”菜单
2.测试人员是月薪实习生，在考勤结果信息的信息集里维护事假、旷工等考勤异常天数，以测试实习费用的考勤折算
3.测试人员是日薪实习生，在考勤结果信息的信息集里维护“实际出勤天数 ”</t>
  </si>
  <si>
    <t>1.点击”工资核算“菜单
2.在工资复核界面查看工资明细表，查看实习费用结果是否正确
备注：工资明细表输出字段提前在报表平台配置</t>
  </si>
  <si>
    <t>四、实习费用核算规则</t>
  </si>
  <si>
    <t>方式一: 日薪实习：日薪标准 * 实际出勤天数</t>
  </si>
  <si>
    <t>方式二：月薪实习：实习费用 计算方法与基本工资、岗位工资折算规则一致</t>
  </si>
  <si>
    <t>工资回算核算测试</t>
  </si>
  <si>
    <t>1.登录DHR系统
2.点击“数据维护”菜单
3.上个月工资已核算发放，因上个月工资数据错误，修改上个月工资数据；包括修改“经常性支付”、“变动性支付”、“固定薪酬”、“考勤结果信息”中相关工资科目信息。 如修改上月的奖金或津贴金额、修改上月的考勤异常数据等
4.先拿后做员工，入职日期在当月工资发放日期后，其次月工资计算时，会将入职首月工资结果以回算的方式体现</t>
  </si>
  <si>
    <t>1.点击”工资核算“菜单
2.在工资复核界面查看工资明细表，查看上月的核算结果差额是否带到本月
备注：工资明细表输出字段提前在报表平台配置</t>
  </si>
  <si>
    <t>工会会员信息确认</t>
  </si>
  <si>
    <t>DHR-&gt;员工信息-&gt;信息维护 &gt; 基本信息</t>
  </si>
  <si>
    <t>1. 登录DHR系统。
2. 点击“信息维护”菜单
3. 查看信息集基本信息里的字段“是否工会会员”信息
备注：只有是工会会员的员工，才需缴纳工会会费&amp;工会经费</t>
  </si>
  <si>
    <t>1.点击”工资核算“菜单
2.在工资复核界面查看工资明细表，查看工会会费及工会经费结果是否正确</t>
  </si>
  <si>
    <t>工会会费计算规则</t>
  </si>
  <si>
    <t>工会会费 = （基本工资类 - 个人缴纳社保 – 个人公积金(含补充)  - 所得税）*0.5% ，其中基本工资类  = 基本工资 + 岗位工资  + 工龄工资 +  计时工资 +  计件工资 + 最低工资补差 + 产假工资调整 + 补发-工资 + 补扣-工资 + 年假折现工资；尾数不足10元的不计入缴纳会费基数。</t>
  </si>
  <si>
    <t>工会经费计算规则</t>
  </si>
  <si>
    <t>应发工资 * 2%。</t>
  </si>
  <si>
    <t>独生子女费计算</t>
  </si>
  <si>
    <t>1. 登录DHR系统。
2. 点击“信息维护”菜单
3. 查看信息集基本信息里的字段“是否持有独生子女证”信息
4. 查看信息集家庭成员信息里的字段子女的“出生日期”信息
备注：只有具有独生子女证，且年龄小于16岁的才能核算出独生子女费</t>
  </si>
  <si>
    <t>1.点击”工资核算“菜单
2.在工资复核界面查看工资明细表，查看独生子女费结果是否正确</t>
  </si>
  <si>
    <t>1.登录DHR系统
2.点击“数据维护”菜单
3.在数据维护页面下，“经常性支付”信息集中维护五险一金核算基数
涉及的工资科目包括：养老保险基数、失业保险基数、医疗保险基数、工伤保险基数
生育保险基数、公积金基数、企业年金基数
4.在数据维护页面下，维护信息集“社会保险”、“公积金信息”、“补充公积金”、企业年金
备注：
1.如已通过定薪流程维护，可不维护</t>
  </si>
  <si>
    <t>1.点击“数据维护”菜单
2.在数据维护页面，“变动性支付”信息集中维护社保补缴或导入社保结果
涉及的工资科目包括：
养老保险（个人补缴）、失业保险（个人补缴）、医疗保险（个人补缴）、公积金（个人补缴）、补充公积金（个人补缴）、企业年金（个人补缴）、养老保险公司补缴
失业保险公司补缴、医疗保险公司补缴、工伤保险公司补缴、生育保险公司补缴
补充公积金公司补缴、公积金公司补缴、企业年金公司补缴
备注：对于社保账单与系统计算结果存在差额的情况，支持通过标准模板导入差额数据，实现差额调整</t>
  </si>
  <si>
    <r>
      <rPr>
        <sz val="10"/>
        <rFont val="仿宋"/>
        <charset val="134"/>
      </rPr>
      <t xml:space="preserve">1.点击”工资核算“菜单
2.在工资复核界面查看工资明细表，查看社会保险、公积金、补充公积金、企业年金核算结果是否正确
</t>
    </r>
    <r>
      <rPr>
        <b/>
        <sz val="10"/>
        <rFont val="仿宋"/>
        <charset val="134"/>
      </rPr>
      <t>备注：</t>
    </r>
    <r>
      <rPr>
        <sz val="10"/>
        <rFont val="仿宋"/>
        <charset val="134"/>
      </rPr>
      <t xml:space="preserve">
1.系统内置各缴纳地区当年度社平工资标准，如缴纳基数超出3倍社平工资，自动将单位和个人超出部分缴纳金额并入员工应税收入
2.员工个人缴纳企业年金中，超过工作地上年度职工月平均工资300%的4%部分，应并入个人当期工资薪金所得计征个人所得税</t>
    </r>
  </si>
  <si>
    <t>1.登录DHR系统
2.点击“数据维护”菜单
3.在数据维护页面下，“个税信息”信息集中维护缴税地区、税组、雇佣类型、税收录入日期、纳税终止日期。
说明：
雇佣类型为员工，按综合所得计税，可默认不维护
税收录入日期：默认无需填写，关注先做后拿员工入职首年计算工资时的月免税额（5000*N），如果如实际存在差异，通过此字段调整
纳税终止日期：先做后拿的离职员工，需要维护此日期（日期维护为员工离职日期的次月）</t>
  </si>
  <si>
    <t>1.登录DHR系统
2.点击“数据维护”菜单
3.在变动性支付信息集维护专项附加扣除，工资科目包含：累计子女教育支出扣除、累计继续教育支出扣除、累计住房贷款利息支出扣除、累计住房租金支出扣除、累计赡养老人支出扣除、累计3岁以下婴幼儿照护、累计个人养老金</t>
  </si>
  <si>
    <t>DHR-&gt;薪酬数据-&gt;薪酬数据批导-&gt;专项附加扣款</t>
  </si>
  <si>
    <t>1.登录DHR系统
2.进入“薪酬数据批导”功能页面
3.选择“专项附加扣除”模板</t>
  </si>
  <si>
    <t>1.登录DHR系统
2.进入“数据维护”功能页面
3.在数据维护页面下，变动性支付维护月工资税基调整
说明：
月工资税基调整：公司的现金福利需缴纳个税的情形，其金额只影响个税计算，不影响实发
个税调整：月工资计算的综合所得个税与金税系统中的个税存在差异时适用</t>
  </si>
  <si>
    <t xml:space="preserve">1.点击”工资核算“菜单
2.在工资复核界面查看工资明细表，查看个人所得税核算结果是否正确
</t>
  </si>
  <si>
    <t>1.登录DHR系统
2.点击“数据维护”菜单
3.在变动性支付或附加非周期支付，维护奖金工资科目金额
4.在变动性支付或附加非周期支付，维护"一次性奖金税基调整"科目，维护的数值为一次性奖金计税应税金额
备注：
1.一次性奖金计税可随工资一起核算发放，也可单独核算发放
2.单独核算发放奖金可部分按综合所得计税，部分按一次性奖金计税，一次性奖金计税的金额部分需维护‘一次性奖金税基调整’薪酬科目</t>
  </si>
  <si>
    <t>1.点击“工资核算”或“奖金核算”菜单
2.完成工资核算步骤：准备、数据核对、工资核算</t>
  </si>
  <si>
    <t xml:space="preserve">1.点击“工资核算”或“奖金核算”菜单
2.在工资复核界面查看工资明细表，查看一次性奖金计税核算结果是否正确
</t>
  </si>
  <si>
    <t>1.登录DHR系统
2.点击“数据维护”菜单
3.在数据维护页面下，“个税信息”信息集中维护缴税地区、税组、雇佣类型、税收录入日期、纳税终止日期。
说明：
1.雇佣类型为9 劳务报酬，按劳务报酬所得计税
2.劳务报酬所得：个人独立提供单次或短期非雇佣性质劳务所获得的收入，与支付方无长期合作关系。扣除标准是800或20%，适用20%-40%超额累进税率。一般适用实习生、聘用退休人员、专家顾问等。</t>
  </si>
  <si>
    <t>1.点击”工资核算“菜单
2.在工资复核界面查看工资明细表，查看一次性奖金计税结果是否正确</t>
  </si>
  <si>
    <t>1.登录DHR系统
2.点击“数据维护”菜单
3.在数据维护页面下，“变动性支付”信息集中维护工资项“离职补偿金”及相应的支付日期，金额。
   3.1 测试离职补偿金总金额超3*上年平均工资
   3.2 测试离职补偿金总金额未超3*上年平均工资</t>
  </si>
  <si>
    <t>1.点击”工资核算“菜单
2.在工资复核界面查看工资明细表，查看离职补偿金个税结果是否正确</t>
  </si>
  <si>
    <t>个税核算-残疾人减免规则</t>
  </si>
  <si>
    <t>1.登录DHR系统
2.点击“员工信息” -- “信息维护”菜单
3.在信息维护页面下，维护“残疾认定”的残疾类型，残疾等级等信息。规则参照测试场景说明
   3.1 个税征税地区（上海,（广西的百色，柳州，防城港），（安徽的滁州，巢湖，池州，阜阳，淮北，合肥，黄山，宿州，宣城））
   3.2 残疾员工的个税减免是根据个税中的征税地区及人事信息中的残疾认定信息确定减免金额或百分比</t>
  </si>
  <si>
    <t>1.点击”工资核算“菜单
2.在工资复核界面查看工资明细表，查看残疾员工的个税减免及应缴个税结果是否正确</t>
  </si>
  <si>
    <t>1.登录DHR系统。
2.点击“数据维护”菜单
3.在“变动性支付”信息集中，维护数据，税后薪酬项目包含：
代扣互助金/帮困金-税后、代扣其他-税后、困难补助、独生子女费、女职工卫生补贴、献血补贴、退休生活补贴（非事业单位）、离休生活补贴（非事业单位）、退休生活补贴（事业单位）、劳动保护费、政府奖励（科技创新）、非工资性费用-税后
4.税后项目不会影响个税，但影响最后实发</t>
  </si>
  <si>
    <t>1.点击”工资核算“菜单
2.在工资复核界面查看工资明细表，查看个税及实发结果是否正确</t>
  </si>
  <si>
    <t>欠款清偿核算规则</t>
  </si>
  <si>
    <t>1.登录DHR系统。
2.点击“数据维护”菜单
3.在“欠款清偿”信息集中，选择“新增”系统将根据带出最新工资结果中的欠款金额，选择“清偿方式”，不同的“清偿方式”屏幕将显示不同的必填字段
选择“个人财务交款”
   维护‘个人财务交款金额’‘生效日期’及‘个人财务交款凭证附件’
选择“绩效奖金扣除”
   维护‘绩效奖金扣除金额’ ‘生效日期’及‘终止日期’
选择“工资分月扣除”
   维护‘月工资保底发放金额’ ‘生效日期’
4.如果‘个人财务交款金额’或‘绩效奖金扣除金额’小于欠款金额，剩余欠款将从月工资中扣除</t>
  </si>
  <si>
    <t>1.点击“工资核算”或“奖金核算”菜单
2.完成工资或奖金核算步骤：准备、数据核对、工资核算</t>
  </si>
  <si>
    <t>1.点击“工资核算”或“奖金核算”菜单
2.在工资复核界面查看工资明细表，如果维护了个人财务交款金额，检看欠款金额是否抵扣
3.在工资复核界面查看工资明细表，如果维护了工资保底发放金额，检查‘实发金额’是否大于等于‘工资保底发放金额’
4.在工资复核界面查看工资明细表，如果维护了奖金抵扣金额，检查奖金发放时，是否有抵扣欠款
5.在工资复核界面查看工资明细表，如果维护的“个人财务交款金额”或“奖金抵扣金额”小于欠款金额时，检查不足金额是否有从实发工资中扣除</t>
  </si>
  <si>
    <t>最低工资补差规则</t>
  </si>
  <si>
    <t>上海地区：应发工资 - 加班费 - 各类津补贴 – 三险一金的结果与上海最低工资标准比较，小于最低工资部分为补差；依据上海社保缴纳地判断上海地区
非上海地区：根据各地区的属地化规则配置</t>
  </si>
  <si>
    <t>1.登录DHR系统。
2.员工固定薪酬组成部分金额较低时，且全月无缺勤时，系统自动计算最低工资补差金额
3.各地最低工资补差标准存在差异，非上海地区：根据各地区的属地化规则配置</t>
  </si>
  <si>
    <t>1.点击”工资核算“菜单
2.在工资复核界面查看工资明细表，查看实发工资和最低工资补差的金额是否正确</t>
  </si>
  <si>
    <t>PY_010</t>
    <phoneticPr fontId="29" type="noConversion"/>
  </si>
  <si>
    <t>PY_011</t>
    <phoneticPr fontId="27" type="noConversion"/>
  </si>
  <si>
    <t>PY_012</t>
    <phoneticPr fontId="27" type="noConversion"/>
  </si>
  <si>
    <t>PY_013</t>
    <phoneticPr fontId="27" type="noConversion"/>
  </si>
  <si>
    <t>PY_014</t>
    <phoneticPr fontId="27" type="noConversion"/>
  </si>
  <si>
    <t>PY_015</t>
    <phoneticPr fontId="27" type="noConversion"/>
  </si>
  <si>
    <t>PY_016</t>
    <phoneticPr fontId="27" type="noConversion"/>
  </si>
  <si>
    <t>PY_017</t>
    <phoneticPr fontId="27" type="noConversion"/>
  </si>
  <si>
    <t>PY_018</t>
    <phoneticPr fontId="27" type="noConversion"/>
  </si>
  <si>
    <t>PY_019</t>
    <phoneticPr fontId="27" type="noConversion"/>
  </si>
  <si>
    <t>PY_020</t>
    <phoneticPr fontId="27" type="noConversion"/>
  </si>
  <si>
    <t>PY_011</t>
    <phoneticPr fontId="29" type="noConversion"/>
  </si>
  <si>
    <t>PY_012</t>
    <phoneticPr fontId="29" type="noConversion"/>
  </si>
  <si>
    <t>PY_020</t>
    <phoneticPr fontId="29" type="noConversion"/>
  </si>
  <si>
    <t>PY_019</t>
    <phoneticPr fontId="29" type="noConversion"/>
  </si>
  <si>
    <t>PY_018</t>
    <phoneticPr fontId="29" type="noConversion"/>
  </si>
  <si>
    <t>PY_017</t>
    <phoneticPr fontId="29" type="noConversion"/>
  </si>
  <si>
    <t>PY_016</t>
    <phoneticPr fontId="29" type="noConversion"/>
  </si>
  <si>
    <t>PY_015</t>
    <phoneticPr fontId="29" type="noConversion"/>
  </si>
  <si>
    <t>PY_014</t>
    <phoneticPr fontId="29" type="noConversion"/>
  </si>
  <si>
    <t>PY_013</t>
    <phoneticPr fontId="29" type="noConversion"/>
  </si>
  <si>
    <r>
      <rPr>
        <u/>
        <sz val="10"/>
        <color indexed="12"/>
        <rFont val="仿宋"/>
        <family val="3"/>
        <charset val="134"/>
      </rPr>
      <t>返回</t>
    </r>
    <phoneticPr fontId="29" type="noConversion"/>
  </si>
  <si>
    <t>一.对应的业务流程</t>
    <phoneticPr fontId="29" type="noConversion"/>
  </si>
  <si>
    <t>序号</t>
    <phoneticPr fontId="29" type="noConversion"/>
  </si>
  <si>
    <t>业务流程编号</t>
    <phoneticPr fontId="29" type="noConversion"/>
  </si>
  <si>
    <t>描述</t>
    <phoneticPr fontId="29" type="noConversion"/>
  </si>
  <si>
    <t>本案例测试结果</t>
    <phoneticPr fontId="29" type="noConversion"/>
  </si>
  <si>
    <t>备注</t>
    <phoneticPr fontId="29" type="noConversion"/>
  </si>
  <si>
    <t>1</t>
    <phoneticPr fontId="29" type="noConversion"/>
  </si>
  <si>
    <t>整体调薪</t>
    <phoneticPr fontId="29" type="noConversion"/>
  </si>
  <si>
    <t>二.测试步骤</t>
    <phoneticPr fontId="29" type="noConversion"/>
  </si>
  <si>
    <t>测试步骤</t>
    <phoneticPr fontId="29" type="noConversion"/>
  </si>
  <si>
    <t>功能路径</t>
    <phoneticPr fontId="29" type="noConversion"/>
  </si>
  <si>
    <t>输入数据/特殊信息</t>
    <phoneticPr fontId="29" type="noConversion"/>
  </si>
  <si>
    <t>预期结果</t>
    <phoneticPr fontId="29" type="noConversion"/>
  </si>
  <si>
    <t>实际结果</t>
    <phoneticPr fontId="29" type="noConversion"/>
  </si>
  <si>
    <t>测试人/测试小组</t>
    <phoneticPr fontId="29" type="noConversion"/>
  </si>
  <si>
    <t>正确/错误</t>
    <phoneticPr fontId="29" type="noConversion"/>
  </si>
  <si>
    <t>测试截图</t>
    <phoneticPr fontId="29" type="noConversion"/>
  </si>
  <si>
    <t>对应问题清单序号</t>
    <phoneticPr fontId="29" type="noConversion"/>
  </si>
  <si>
    <t>进入“薪酬数据”</t>
    <phoneticPr fontId="29" type="noConversion"/>
  </si>
  <si>
    <t>DHR-&gt;人事工作台-&gt;薪酬数据</t>
    <phoneticPr fontId="29" type="noConversion"/>
  </si>
  <si>
    <t>1.登录DHR系统。
2.进入“薪酬数据”菜单</t>
    <phoneticPr fontId="29" type="noConversion"/>
  </si>
  <si>
    <t>进入“整体调薪”</t>
    <phoneticPr fontId="29" type="noConversion"/>
  </si>
  <si>
    <t>DHR-&gt;人事工作台-&gt;薪酬数据-&gt;整体调薪</t>
    <phoneticPr fontId="29" type="noConversion"/>
  </si>
  <si>
    <t>预览调薪通知</t>
    <phoneticPr fontId="29" type="noConversion"/>
  </si>
  <si>
    <t>三.测试结果</t>
    <phoneticPr fontId="29" type="noConversion"/>
  </si>
  <si>
    <t>确认日期</t>
    <phoneticPr fontId="29" type="noConversion"/>
  </si>
  <si>
    <t>确认人</t>
    <phoneticPr fontId="29" type="noConversion"/>
  </si>
  <si>
    <t>其他说明</t>
    <phoneticPr fontId="29" type="noConversion"/>
  </si>
  <si>
    <t>YYYYMMDD</t>
    <phoneticPr fontId="29" type="noConversion"/>
  </si>
  <si>
    <t>1.点击“新建调薪”，进入编辑详情页，维护需要发起整体调薪的组织机构和薪酬核算范围组，确定调薪生效日期和是否发送调薪通知，填写审批摘要，调薪流程标题会自动生成，如需调整可手动修改标题
2.点击“调薪科目”页签，点击下载模板，在弹窗中选择薪酬核算范围组后选择需要调整的固定薪酬和经常性支付科目，选择完成后点击数据预览，筛选需要调整的员工，导出批导模板
3.填写批导模板，修改调薪金额后上传模板，上传成功后会预先进行数据校验，如果有数据问题会返回具体错误，修改错误后重新上传直至没有错误为止
4.点击“附件”页签，按需上传整体调薪支持性文件（提交复核流程必传）
5.按需提交复核或审批流程
6.审批前可撤回整体调薪流程，流程审批通过批导的数据自动生效</t>
    <phoneticPr fontId="29" type="noConversion"/>
  </si>
  <si>
    <t>1.操作“调薪通知”页签可以预览发送给员工的调薪通知内容
2.如果在整体调薪发起页的‘是否发送调薪通知’字段中填写的‘是’，在流程审批完成后，会在“调薪通知”页签生成每个员工的调薪通知，可单个预览通知和发送，也可批量发送或批量取消发送</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</si>
</sst>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2"/>
      <name val="宋体"/>
      <charset val="134"/>
    </font>
    <font>
      <sz val="10"/>
      <name val="仿宋"/>
      <charset val="134"/>
    </font>
    <font>
      <u/>
      <sz val="10"/>
      <color rgb="FF800080"/>
      <name val="仿宋"/>
      <charset val="134"/>
    </font>
    <font>
      <b/>
      <sz val="11"/>
      <name val="仿宋"/>
      <charset val="134"/>
    </font>
    <font>
      <b/>
      <sz val="10"/>
      <color theme="0"/>
      <name val="仿宋"/>
      <charset val="134"/>
    </font>
    <font>
      <sz val="10"/>
      <name val="微软雅黑"/>
      <charset val="134"/>
    </font>
    <font>
      <u/>
      <sz val="10"/>
      <color indexed="12"/>
      <name val="仿宋"/>
      <charset val="134"/>
    </font>
    <font>
      <sz val="10"/>
      <color theme="1"/>
      <name val="仿宋"/>
      <charset val="134"/>
    </font>
    <font>
      <sz val="14"/>
      <color rgb="FF000000"/>
      <name val="仿宋"/>
      <charset val="134"/>
    </font>
    <font>
      <sz val="11"/>
      <color theme="1"/>
      <name val="仿宋"/>
      <charset val="134"/>
    </font>
    <font>
      <b/>
      <sz val="11"/>
      <color theme="1"/>
      <name val="仿宋"/>
      <charset val="134"/>
    </font>
    <font>
      <sz val="10"/>
      <color theme="0"/>
      <name val="仿宋"/>
      <charset val="134"/>
    </font>
    <font>
      <sz val="10"/>
      <color indexed="8"/>
      <name val="仿宋"/>
      <charset val="134"/>
    </font>
    <font>
      <b/>
      <sz val="10"/>
      <color theme="1"/>
      <name val="仿宋"/>
      <charset val="134"/>
    </font>
    <font>
      <sz val="10"/>
      <color rgb="FF00B0F0"/>
      <name val="仿宋"/>
      <charset val="134"/>
    </font>
    <font>
      <sz val="10"/>
      <name val="仿宋"/>
      <charset val="134"/>
    </font>
    <font>
      <b/>
      <sz val="11"/>
      <name val="仿宋"/>
      <charset val="134"/>
    </font>
    <font>
      <b/>
      <sz val="10"/>
      <color theme="0"/>
      <name val="仿宋"/>
      <charset val="134"/>
    </font>
    <font>
      <sz val="14"/>
      <name val="微软雅黑"/>
      <charset val="134"/>
    </font>
    <font>
      <b/>
      <sz val="14"/>
      <color theme="0"/>
      <name val="仿宋"/>
      <charset val="134"/>
    </font>
    <font>
      <sz val="14"/>
      <name val="仿宋"/>
      <charset val="134"/>
    </font>
    <font>
      <u/>
      <sz val="14"/>
      <color theme="4"/>
      <name val="仿宋"/>
      <charset val="134"/>
    </font>
    <font>
      <u/>
      <sz val="10"/>
      <color indexed="12"/>
      <name val="Arial"/>
      <family val="2"/>
    </font>
    <font>
      <sz val="12"/>
      <name val="宋体"/>
      <charset val="134"/>
    </font>
    <font>
      <b/>
      <sz val="10"/>
      <name val="仿宋"/>
      <charset val="134"/>
    </font>
    <font>
      <b/>
      <sz val="10"/>
      <color indexed="8"/>
      <name val="仿宋"/>
      <charset val="134"/>
    </font>
    <font>
      <sz val="14"/>
      <name val="仿宋"/>
      <family val="3"/>
      <charset val="134"/>
    </font>
    <font>
      <sz val="9"/>
      <name val="宋体"/>
      <charset val="134"/>
    </font>
    <font>
      <u/>
      <sz val="14"/>
      <color theme="4"/>
      <name val="仿宋"/>
      <family val="3"/>
      <charset val="134"/>
    </font>
    <font>
      <sz val="9"/>
      <name val="宋体"/>
      <family val="3"/>
      <charset val="134"/>
    </font>
    <font>
      <sz val="10"/>
      <name val="仿宋"/>
      <family val="3"/>
      <charset val="134"/>
    </font>
    <font>
      <u/>
      <sz val="10"/>
      <color indexed="12"/>
      <name val="仿宋"/>
      <family val="3"/>
      <charset val="134"/>
    </font>
    <font>
      <b/>
      <sz val="11"/>
      <name val="仿宋"/>
      <family val="3"/>
      <charset val="134"/>
    </font>
    <font>
      <sz val="10"/>
      <name val="仿宋"/>
      <family val="3"/>
    </font>
    <font>
      <b/>
      <sz val="10"/>
      <color theme="0"/>
      <name val="仿宋"/>
      <family val="3"/>
      <charset val="134"/>
    </font>
  </fonts>
  <fills count="5">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366092"/>
        <bgColor indexed="64"/>
      </patternFill>
    </fill>
  </fills>
  <borders count="18">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0" fontId="22" fillId="0" borderId="0" applyNumberFormat="0" applyFill="0" applyBorder="0" applyAlignment="0" applyProtection="0">
      <alignment vertical="top"/>
      <protection locked="0"/>
    </xf>
    <xf numFmtId="0" fontId="23" fillId="0" borderId="0"/>
  </cellStyleXfs>
  <cellXfs count="105">
    <xf numFmtId="0" fontId="0" fillId="0" borderId="0" xfId="0" applyAlignment="1">
      <alignment vertical="center"/>
    </xf>
    <xf numFmtId="0" fontId="1" fillId="2" borderId="0" xfId="2" applyFont="1" applyFill="1" applyAlignment="1">
      <alignment vertical="center"/>
    </xf>
    <xf numFmtId="0" fontId="1" fillId="2" borderId="0" xfId="0" applyFont="1" applyFill="1" applyAlignment="1">
      <alignment vertical="center"/>
    </xf>
    <xf numFmtId="0" fontId="2" fillId="2" borderId="0" xfId="1" applyFont="1" applyFill="1" applyAlignment="1" applyProtection="1">
      <alignment vertical="center"/>
    </xf>
    <xf numFmtId="49" fontId="4" fillId="3" borderId="4" xfId="2" applyNumberFormat="1" applyFont="1" applyFill="1" applyBorder="1" applyAlignment="1">
      <alignment horizontal="center" vertical="center" wrapText="1"/>
    </xf>
    <xf numFmtId="49" fontId="1" fillId="2" borderId="5" xfId="2" applyNumberFormat="1" applyFont="1" applyFill="1" applyBorder="1" applyAlignment="1">
      <alignment horizontal="left" vertical="center" wrapText="1"/>
    </xf>
    <xf numFmtId="49" fontId="5" fillId="2" borderId="5" xfId="0" applyNumberFormat="1" applyFont="1" applyFill="1" applyBorder="1" applyAlignment="1">
      <alignment horizontal="left" vertical="center" wrapText="1"/>
    </xf>
    <xf numFmtId="49" fontId="1" fillId="2" borderId="5" xfId="2" applyNumberFormat="1" applyFont="1" applyFill="1" applyBorder="1" applyAlignment="1">
      <alignment horizontal="center" vertical="center" wrapText="1"/>
    </xf>
    <xf numFmtId="49" fontId="1" fillId="2" borderId="6" xfId="2" applyNumberFormat="1" applyFont="1" applyFill="1" applyBorder="1" applyAlignment="1">
      <alignment horizontal="left" vertical="center" wrapText="1"/>
    </xf>
    <xf numFmtId="0" fontId="1" fillId="2" borderId="5" xfId="2" applyFont="1" applyFill="1" applyBorder="1" applyAlignment="1">
      <alignment vertical="center"/>
    </xf>
    <xf numFmtId="49" fontId="4" fillId="3" borderId="4" xfId="0" applyNumberFormat="1" applyFont="1" applyFill="1" applyBorder="1" applyAlignment="1">
      <alignment horizontal="center" vertical="center" wrapText="1"/>
    </xf>
    <xf numFmtId="49" fontId="1" fillId="2" borderId="5" xfId="0" applyNumberFormat="1" applyFont="1" applyFill="1" applyBorder="1" applyAlignment="1">
      <alignment horizontal="center" vertical="center" wrapText="1"/>
    </xf>
    <xf numFmtId="49" fontId="1" fillId="0" borderId="6" xfId="2" applyNumberFormat="1" applyFont="1" applyBorder="1" applyAlignment="1">
      <alignment horizontal="left" vertical="center" wrapText="1"/>
    </xf>
    <xf numFmtId="0" fontId="6" fillId="2" borderId="0" xfId="1" applyFont="1" applyFill="1" applyAlignment="1" applyProtection="1">
      <alignment vertical="center"/>
    </xf>
    <xf numFmtId="49" fontId="7" fillId="2" borderId="6" xfId="2" applyNumberFormat="1" applyFont="1" applyFill="1" applyBorder="1" applyAlignment="1">
      <alignment horizontal="left" vertical="center" wrapText="1"/>
    </xf>
    <xf numFmtId="49" fontId="7" fillId="2" borderId="5" xfId="2" applyNumberFormat="1" applyFont="1" applyFill="1" applyBorder="1" applyAlignment="1">
      <alignment horizontal="left" vertical="center" wrapText="1"/>
    </xf>
    <xf numFmtId="49" fontId="4" fillId="3" borderId="4" xfId="2" applyNumberFormat="1" applyFont="1" applyFill="1" applyBorder="1" applyAlignment="1">
      <alignment horizontal="left" vertical="center" wrapText="1"/>
    </xf>
    <xf numFmtId="0" fontId="8" fillId="0" borderId="0" xfId="0" applyFont="1" applyAlignment="1">
      <alignment horizontal="left" vertical="center" readingOrder="1"/>
    </xf>
    <xf numFmtId="49" fontId="4" fillId="3" borderId="11" xfId="2" applyNumberFormat="1" applyFont="1" applyFill="1" applyBorder="1" applyAlignment="1">
      <alignment horizontal="center" vertical="center" wrapText="1"/>
    </xf>
    <xf numFmtId="0" fontId="9" fillId="0" borderId="5" xfId="2" applyFont="1" applyBorder="1" applyAlignment="1">
      <alignment vertical="center" wrapText="1"/>
    </xf>
    <xf numFmtId="0" fontId="9" fillId="0" borderId="0" xfId="2" applyFont="1" applyAlignment="1">
      <alignment horizontal="left" vertical="center"/>
    </xf>
    <xf numFmtId="0" fontId="9" fillId="0" borderId="0" xfId="2" applyFont="1" applyAlignment="1">
      <alignment wrapText="1"/>
    </xf>
    <xf numFmtId="0" fontId="9" fillId="0" borderId="0" xfId="2" applyFont="1" applyAlignment="1">
      <alignment vertical="center" wrapText="1"/>
    </xf>
    <xf numFmtId="0" fontId="10" fillId="2" borderId="5" xfId="2" applyFont="1" applyFill="1" applyBorder="1"/>
    <xf numFmtId="0" fontId="9" fillId="0" borderId="5" xfId="2" applyFont="1" applyBorder="1" applyAlignment="1">
      <alignment horizontal="left" vertical="center"/>
    </xf>
    <xf numFmtId="0" fontId="9" fillId="0" borderId="5" xfId="2" applyFont="1" applyBorder="1" applyAlignment="1">
      <alignment wrapText="1"/>
    </xf>
    <xf numFmtId="49" fontId="1" fillId="2" borderId="0" xfId="0" applyNumberFormat="1" applyFont="1" applyFill="1" applyAlignment="1">
      <alignment horizontal="center" vertical="center" wrapText="1"/>
    </xf>
    <xf numFmtId="49" fontId="1" fillId="2" borderId="6" xfId="2" applyNumberFormat="1" applyFont="1" applyFill="1" applyBorder="1" applyAlignment="1">
      <alignment horizontal="center" vertical="center" wrapText="1"/>
    </xf>
    <xf numFmtId="0" fontId="1" fillId="2" borderId="6" xfId="2" applyFont="1" applyFill="1" applyBorder="1" applyAlignment="1">
      <alignment vertical="center"/>
    </xf>
    <xf numFmtId="49" fontId="4" fillId="3" borderId="13" xfId="0" applyNumberFormat="1" applyFont="1" applyFill="1" applyBorder="1" applyAlignment="1">
      <alignment horizontal="center" vertical="center" wrapText="1"/>
    </xf>
    <xf numFmtId="49" fontId="1" fillId="2" borderId="14" xfId="2" applyNumberFormat="1" applyFont="1" applyFill="1" applyBorder="1" applyAlignment="1">
      <alignment horizontal="center" vertical="center" wrapText="1"/>
    </xf>
    <xf numFmtId="0" fontId="1" fillId="2" borderId="14" xfId="2" applyFont="1" applyFill="1" applyBorder="1" applyAlignment="1">
      <alignment vertical="center"/>
    </xf>
    <xf numFmtId="0" fontId="4" fillId="3" borderId="0" xfId="2" applyFont="1" applyFill="1" applyAlignment="1">
      <alignment horizontal="left" vertical="center"/>
    </xf>
    <xf numFmtId="0" fontId="11" fillId="3" borderId="0" xfId="2" applyFont="1" applyFill="1"/>
    <xf numFmtId="0" fontId="7" fillId="2" borderId="5" xfId="2" applyFont="1" applyFill="1" applyBorder="1" applyAlignment="1">
      <alignment horizontal="left"/>
    </xf>
    <xf numFmtId="0" fontId="13" fillId="2" borderId="5" xfId="2" applyFont="1" applyFill="1" applyBorder="1" applyAlignment="1">
      <alignment horizontal="left"/>
    </xf>
    <xf numFmtId="0" fontId="13" fillId="2" borderId="5" xfId="2" applyFont="1" applyFill="1" applyBorder="1"/>
    <xf numFmtId="0" fontId="13" fillId="2" borderId="5" xfId="2" applyFont="1" applyFill="1" applyBorder="1" applyAlignment="1">
      <alignment wrapText="1"/>
    </xf>
    <xf numFmtId="0" fontId="7" fillId="2" borderId="5" xfId="2" applyFont="1" applyFill="1" applyBorder="1" applyAlignment="1">
      <alignment horizontal="left" wrapText="1"/>
    </xf>
    <xf numFmtId="0" fontId="14" fillId="2" borderId="5" xfId="2" applyFont="1" applyFill="1" applyBorder="1" applyAlignment="1">
      <alignment horizontal="left"/>
    </xf>
    <xf numFmtId="0" fontId="13" fillId="2" borderId="5" xfId="2" applyFont="1" applyFill="1" applyBorder="1" applyAlignment="1">
      <alignment horizontal="left" vertical="center"/>
    </xf>
    <xf numFmtId="0" fontId="7" fillId="2" borderId="5" xfId="2" applyFont="1" applyFill="1" applyBorder="1" applyAlignment="1">
      <alignment horizontal="left" vertical="center"/>
    </xf>
    <xf numFmtId="0" fontId="7" fillId="2" borderId="5" xfId="2" applyFont="1" applyFill="1" applyBorder="1" applyAlignment="1">
      <alignment vertical="center"/>
    </xf>
    <xf numFmtId="0" fontId="13" fillId="2" borderId="5" xfId="2" applyFont="1" applyFill="1" applyBorder="1" applyAlignment="1">
      <alignment horizontal="left" vertical="center" wrapText="1"/>
    </xf>
    <xf numFmtId="0" fontId="7" fillId="2" borderId="0" xfId="2" applyFont="1" applyFill="1" applyAlignment="1">
      <alignment horizontal="left"/>
    </xf>
    <xf numFmtId="0" fontId="7" fillId="2" borderId="0" xfId="2" applyFont="1" applyFill="1"/>
    <xf numFmtId="0" fontId="7" fillId="2" borderId="0" xfId="2" applyFont="1" applyFill="1" applyAlignment="1">
      <alignment wrapText="1"/>
    </xf>
    <xf numFmtId="0" fontId="7" fillId="0" borderId="5" xfId="2" applyFont="1" applyBorder="1" applyAlignment="1">
      <alignment horizontal="left"/>
    </xf>
    <xf numFmtId="0" fontId="7" fillId="2" borderId="5" xfId="2" applyFont="1" applyFill="1" applyBorder="1"/>
    <xf numFmtId="0" fontId="13" fillId="2" borderId="5" xfId="2" applyFont="1" applyFill="1" applyBorder="1" applyAlignment="1">
      <alignment horizontal="left" wrapText="1"/>
    </xf>
    <xf numFmtId="49" fontId="1" fillId="2" borderId="5" xfId="0" applyNumberFormat="1" applyFont="1" applyFill="1" applyBorder="1" applyAlignment="1">
      <alignment horizontal="left" vertical="center" wrapText="1"/>
    </xf>
    <xf numFmtId="0" fontId="15" fillId="2" borderId="0" xfId="0" applyFont="1" applyFill="1" applyAlignment="1">
      <alignment vertical="center"/>
    </xf>
    <xf numFmtId="49" fontId="15" fillId="2" borderId="5" xfId="0" applyNumberFormat="1" applyFont="1" applyFill="1" applyBorder="1" applyAlignment="1">
      <alignment horizontal="center" vertical="center" wrapText="1"/>
    </xf>
    <xf numFmtId="49" fontId="15" fillId="2" borderId="5" xfId="0" applyNumberFormat="1" applyFont="1" applyFill="1" applyBorder="1" applyAlignment="1">
      <alignment horizontal="left" vertical="center" wrapText="1"/>
    </xf>
    <xf numFmtId="49" fontId="17" fillId="3" borderId="4" xfId="0" applyNumberFormat="1" applyFont="1" applyFill="1" applyBorder="1" applyAlignment="1">
      <alignment horizontal="center" vertical="center" wrapText="1"/>
    </xf>
    <xf numFmtId="0" fontId="18" fillId="0" borderId="0" xfId="0" applyFont="1" applyAlignment="1">
      <alignment vertical="center"/>
    </xf>
    <xf numFmtId="0" fontId="18" fillId="0" borderId="0" xfId="0" applyFont="1" applyAlignment="1">
      <alignment horizontal="left" vertical="center"/>
    </xf>
    <xf numFmtId="14" fontId="19" fillId="3" borderId="5" xfId="0" applyNumberFormat="1" applyFont="1" applyFill="1" applyBorder="1" applyAlignment="1">
      <alignment horizontal="center" vertical="center" wrapText="1"/>
    </xf>
    <xf numFmtId="49" fontId="19" fillId="3" borderId="5" xfId="0" applyNumberFormat="1" applyFont="1" applyFill="1" applyBorder="1" applyAlignment="1">
      <alignment horizontal="center" vertical="center" wrapText="1"/>
    </xf>
    <xf numFmtId="49" fontId="20" fillId="2" borderId="5" xfId="0" applyNumberFormat="1" applyFont="1" applyFill="1" applyBorder="1" applyAlignment="1">
      <alignment horizontal="center" vertical="center" wrapText="1"/>
    </xf>
    <xf numFmtId="49" fontId="21" fillId="2" borderId="5" xfId="1" applyNumberFormat="1" applyFont="1" applyFill="1" applyBorder="1" applyAlignment="1" applyProtection="1">
      <alignment horizontal="center" vertical="center" wrapText="1"/>
    </xf>
    <xf numFmtId="49" fontId="20" fillId="2" borderId="5" xfId="0" applyNumberFormat="1" applyFont="1" applyFill="1" applyBorder="1" applyAlignment="1">
      <alignment horizontal="left" vertical="center" wrapText="1"/>
    </xf>
    <xf numFmtId="49" fontId="26" fillId="2" borderId="5" xfId="0" applyNumberFormat="1" applyFont="1" applyFill="1" applyBorder="1" applyAlignment="1">
      <alignment horizontal="center" vertical="center" wrapText="1"/>
    </xf>
    <xf numFmtId="49" fontId="28" fillId="2" borderId="5" xfId="1" applyNumberFormat="1" applyFont="1" applyFill="1" applyBorder="1" applyAlignment="1" applyProtection="1">
      <alignment horizontal="center" vertical="center" wrapText="1"/>
    </xf>
    <xf numFmtId="49" fontId="30" fillId="2" borderId="5" xfId="0" applyNumberFormat="1" applyFont="1" applyFill="1" applyBorder="1" applyAlignment="1">
      <alignment horizontal="left" vertical="center" wrapText="1"/>
    </xf>
    <xf numFmtId="0" fontId="22" fillId="2" borderId="0" xfId="1" applyFill="1" applyAlignment="1" applyProtection="1">
      <alignment vertical="center"/>
    </xf>
    <xf numFmtId="0" fontId="30" fillId="2" borderId="0" xfId="0" applyFont="1" applyFill="1" applyAlignment="1">
      <alignment vertical="center"/>
    </xf>
    <xf numFmtId="0" fontId="33" fillId="2" borderId="0" xfId="0" applyFont="1" applyFill="1" applyAlignment="1">
      <alignment vertical="center"/>
    </xf>
    <xf numFmtId="49" fontId="30" fillId="2" borderId="5" xfId="0" applyNumberFormat="1" applyFont="1" applyFill="1" applyBorder="1" applyAlignment="1">
      <alignment horizontal="center" vertical="center" wrapText="1"/>
    </xf>
    <xf numFmtId="49" fontId="33" fillId="2" borderId="5" xfId="0" applyNumberFormat="1" applyFont="1" applyFill="1" applyBorder="1" applyAlignment="1">
      <alignment horizontal="center" vertical="center" wrapText="1"/>
    </xf>
    <xf numFmtId="49" fontId="34" fillId="4" borderId="4" xfId="0" applyNumberFormat="1" applyFont="1" applyFill="1" applyBorder="1" applyAlignment="1">
      <alignment horizontal="center" vertical="center" wrapText="1"/>
    </xf>
    <xf numFmtId="14" fontId="19" fillId="3" borderId="6" xfId="0" applyNumberFormat="1" applyFont="1" applyFill="1" applyBorder="1" applyAlignment="1">
      <alignment horizontal="center" vertical="center" wrapText="1"/>
    </xf>
    <xf numFmtId="14" fontId="19" fillId="3" borderId="14" xfId="0" applyNumberFormat="1" applyFont="1" applyFill="1" applyBorder="1" applyAlignment="1">
      <alignment horizontal="center" vertical="center" wrapText="1"/>
    </xf>
    <xf numFmtId="49" fontId="21" fillId="2" borderId="15" xfId="0" applyNumberFormat="1" applyFont="1" applyFill="1" applyBorder="1" applyAlignment="1">
      <alignment horizontal="center" vertical="center" wrapText="1"/>
    </xf>
    <xf numFmtId="49" fontId="21" fillId="2" borderId="16" xfId="0" applyNumberFormat="1" applyFont="1" applyFill="1" applyBorder="1" applyAlignment="1">
      <alignment horizontal="center" vertical="center" wrapText="1"/>
    </xf>
    <xf numFmtId="49" fontId="21" fillId="2" borderId="17" xfId="0" applyNumberFormat="1" applyFont="1" applyFill="1" applyBorder="1" applyAlignment="1">
      <alignment horizontal="center" vertical="center" wrapText="1"/>
    </xf>
    <xf numFmtId="49" fontId="21" fillId="2" borderId="15" xfId="1" applyNumberFormat="1" applyFont="1" applyFill="1" applyBorder="1" applyAlignment="1" applyProtection="1">
      <alignment horizontal="center" vertical="center" wrapText="1"/>
    </xf>
    <xf numFmtId="49" fontId="21" fillId="2" borderId="16" xfId="1" applyNumberFormat="1" applyFont="1" applyFill="1" applyBorder="1" applyAlignment="1" applyProtection="1">
      <alignment horizontal="center" vertical="center" wrapText="1"/>
    </xf>
    <xf numFmtId="49" fontId="21" fillId="2" borderId="17" xfId="1" applyNumberFormat="1" applyFont="1" applyFill="1" applyBorder="1" applyAlignment="1" applyProtection="1">
      <alignment horizontal="center" vertical="center" wrapText="1"/>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16" fillId="2" borderId="1" xfId="0" applyFont="1" applyFill="1" applyBorder="1" applyAlignment="1">
      <alignment horizontal="left" vertical="center"/>
    </xf>
    <xf numFmtId="0" fontId="16" fillId="2" borderId="2" xfId="0" applyFont="1" applyFill="1" applyBorder="1" applyAlignment="1">
      <alignment horizontal="left" vertical="center"/>
    </xf>
    <xf numFmtId="0" fontId="16" fillId="2" borderId="3" xfId="0" applyFont="1" applyFill="1" applyBorder="1" applyAlignment="1">
      <alignment horizontal="left" vertical="center"/>
    </xf>
    <xf numFmtId="0" fontId="32" fillId="2" borderId="1" xfId="0" applyFont="1" applyFill="1" applyBorder="1" applyAlignment="1">
      <alignment horizontal="left" vertical="center"/>
    </xf>
    <xf numFmtId="0" fontId="32" fillId="2" borderId="2" xfId="0" applyFont="1" applyFill="1" applyBorder="1" applyAlignment="1">
      <alignment horizontal="left" vertical="center"/>
    </xf>
    <xf numFmtId="0" fontId="32" fillId="2" borderId="3" xfId="0" applyFont="1" applyFill="1" applyBorder="1" applyAlignment="1">
      <alignment horizontal="left" vertical="center"/>
    </xf>
    <xf numFmtId="0" fontId="12" fillId="2" borderId="0" xfId="2" applyFont="1" applyFill="1" applyAlignment="1">
      <alignment vertical="top" wrapText="1"/>
    </xf>
    <xf numFmtId="0" fontId="7" fillId="2" borderId="0" xfId="2" applyFont="1" applyFill="1" applyAlignment="1">
      <alignment vertical="top" wrapText="1"/>
    </xf>
    <xf numFmtId="0" fontId="3" fillId="2" borderId="1" xfId="2" applyFont="1" applyFill="1" applyBorder="1" applyAlignment="1">
      <alignment horizontal="left" vertical="center"/>
    </xf>
    <xf numFmtId="0" fontId="3" fillId="2" borderId="2" xfId="2" applyFont="1" applyFill="1" applyBorder="1" applyAlignment="1">
      <alignment horizontal="left" vertical="center"/>
    </xf>
    <xf numFmtId="0" fontId="3" fillId="2" borderId="3" xfId="2" applyFont="1" applyFill="1" applyBorder="1" applyAlignment="1">
      <alignment horizontal="left" vertical="center"/>
    </xf>
    <xf numFmtId="49" fontId="4" fillId="3" borderId="11" xfId="2" applyNumberFormat="1" applyFont="1" applyFill="1" applyBorder="1" applyAlignment="1">
      <alignment horizontal="center" vertical="center" wrapText="1"/>
    </xf>
    <xf numFmtId="49" fontId="4" fillId="3" borderId="12" xfId="2" applyNumberFormat="1" applyFont="1" applyFill="1" applyBorder="1" applyAlignment="1">
      <alignment horizontal="center" vertical="center" wrapText="1"/>
    </xf>
    <xf numFmtId="0" fontId="10" fillId="2" borderId="11" xfId="2" applyFont="1" applyFill="1" applyBorder="1" applyAlignment="1">
      <alignment horizontal="center"/>
    </xf>
    <xf numFmtId="0" fontId="10" fillId="2" borderId="12" xfId="2" applyFont="1" applyFill="1" applyBorder="1" applyAlignment="1">
      <alignment horizontal="center"/>
    </xf>
    <xf numFmtId="0" fontId="9" fillId="0" borderId="5" xfId="2" applyFont="1" applyBorder="1" applyAlignment="1">
      <alignment horizontal="center" vertical="center" wrapText="1"/>
    </xf>
    <xf numFmtId="49" fontId="4" fillId="3" borderId="10" xfId="2" applyNumberFormat="1" applyFont="1" applyFill="1" applyBorder="1" applyAlignment="1">
      <alignment horizontal="left" vertical="center" wrapText="1"/>
    </xf>
    <xf numFmtId="49" fontId="4" fillId="3" borderId="0" xfId="2" applyNumberFormat="1" applyFont="1" applyFill="1" applyAlignment="1">
      <alignment horizontal="left" vertical="center" wrapText="1"/>
    </xf>
    <xf numFmtId="0" fontId="1" fillId="2" borderId="0" xfId="2" applyFont="1" applyFill="1" applyAlignment="1">
      <alignment horizontal="left" vertical="center" wrapText="1"/>
    </xf>
    <xf numFmtId="0" fontId="3" fillId="2" borderId="7" xfId="2" applyFont="1" applyFill="1" applyBorder="1" applyAlignment="1">
      <alignment horizontal="left" vertical="center"/>
    </xf>
    <xf numFmtId="0" fontId="3" fillId="2" borderId="8" xfId="2" applyFont="1" applyFill="1" applyBorder="1" applyAlignment="1">
      <alignment horizontal="left" vertical="center"/>
    </xf>
    <xf numFmtId="0" fontId="3" fillId="2" borderId="9" xfId="2" applyFont="1" applyFill="1" applyBorder="1" applyAlignment="1">
      <alignment horizontal="left" vertical="center"/>
    </xf>
    <xf numFmtId="0" fontId="1" fillId="2" borderId="0" xfId="2" applyFont="1" applyFill="1" applyAlignment="1">
      <alignment horizontal="left" vertical="top" wrapText="1"/>
    </xf>
  </cellXfs>
  <cellStyles count="3">
    <cellStyle name="Hyperlink" xfId="1" builtinId="8"/>
    <cellStyle name="Normal" xfId="0" builtinId="0"/>
    <cellStyle name="Normal 2" xfId="2"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20</xdr:row>
      <xdr:rowOff>15240</xdr:rowOff>
    </xdr:from>
    <xdr:to>
      <xdr:col>4</xdr:col>
      <xdr:colOff>15240</xdr:colOff>
      <xdr:row>36</xdr:row>
      <xdr:rowOff>121920</xdr:rowOff>
    </xdr:to>
    <xdr:pic>
      <xdr:nvPicPr>
        <xdr:cNvPr id="2" name="图片 1">
          <a:extLst>
            <a:ext uri="{FF2B5EF4-FFF2-40B4-BE49-F238E27FC236}">
              <a16:creationId xmlns:a16="http://schemas.microsoft.com/office/drawing/2014/main" id="{00000000-0008-0000-2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10540" y="5652135"/>
          <a:ext cx="8359140" cy="2545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F46"/>
  <sheetViews>
    <sheetView tabSelected="1" workbookViewId="0">
      <pane ySplit="2" topLeftCell="A9" activePane="bottomLeft" state="frozen"/>
      <selection pane="bottomLeft" activeCell="E16" sqref="E16"/>
    </sheetView>
  </sheetViews>
  <sheetFormatPr defaultColWidth="9" defaultRowHeight="19.2" x14ac:dyDescent="0.25"/>
  <cols>
    <col min="1" max="2" width="9" style="55"/>
    <col min="3" max="4" width="21" style="55" customWidth="1"/>
    <col min="5" max="5" width="55.09765625" style="56" customWidth="1"/>
    <col min="6" max="6" width="77.59765625" style="56" customWidth="1"/>
    <col min="7" max="7" width="17.19921875" style="55" customWidth="1"/>
    <col min="8" max="16384" width="9" style="55"/>
  </cols>
  <sheetData>
    <row r="2" spans="2:6" x14ac:dyDescent="0.25">
      <c r="B2" s="57" t="s">
        <v>0</v>
      </c>
      <c r="C2" s="58" t="s">
        <v>1</v>
      </c>
      <c r="D2" s="71" t="s">
        <v>2</v>
      </c>
      <c r="E2" s="72"/>
      <c r="F2" s="57" t="s">
        <v>3</v>
      </c>
    </row>
    <row r="3" spans="2:6" x14ac:dyDescent="0.25">
      <c r="B3" s="59">
        <v>1</v>
      </c>
      <c r="C3" s="60" t="s">
        <v>4</v>
      </c>
      <c r="D3" s="73" t="s">
        <v>5</v>
      </c>
      <c r="E3" s="61" t="s">
        <v>6</v>
      </c>
      <c r="F3" s="61"/>
    </row>
    <row r="4" spans="2:6" x14ac:dyDescent="0.25">
      <c r="B4" s="59">
        <v>2</v>
      </c>
      <c r="C4" s="60" t="s">
        <v>7</v>
      </c>
      <c r="D4" s="74"/>
      <c r="E4" s="61" t="s">
        <v>8</v>
      </c>
      <c r="F4" s="61"/>
    </row>
    <row r="5" spans="2:6" x14ac:dyDescent="0.25">
      <c r="B5" s="59">
        <v>3</v>
      </c>
      <c r="C5" s="60" t="s">
        <v>9</v>
      </c>
      <c r="D5" s="74"/>
      <c r="E5" s="61" t="s">
        <v>10</v>
      </c>
      <c r="F5" s="61"/>
    </row>
    <row r="6" spans="2:6" x14ac:dyDescent="0.25">
      <c r="B6" s="59">
        <v>4</v>
      </c>
      <c r="C6" s="60" t="s">
        <v>11</v>
      </c>
      <c r="D6" s="74"/>
      <c r="E6" s="61" t="s">
        <v>12</v>
      </c>
      <c r="F6" s="61"/>
    </row>
    <row r="7" spans="2:6" x14ac:dyDescent="0.25">
      <c r="B7" s="59">
        <v>5</v>
      </c>
      <c r="C7" s="60" t="s">
        <v>13</v>
      </c>
      <c r="D7" s="74"/>
      <c r="E7" s="61" t="s">
        <v>14</v>
      </c>
      <c r="F7" s="61"/>
    </row>
    <row r="8" spans="2:6" x14ac:dyDescent="0.25">
      <c r="B8" s="59">
        <v>6</v>
      </c>
      <c r="C8" s="60" t="s">
        <v>15</v>
      </c>
      <c r="D8" s="74"/>
      <c r="E8" s="61" t="s">
        <v>16</v>
      </c>
      <c r="F8" s="61"/>
    </row>
    <row r="9" spans="2:6" x14ac:dyDescent="0.25">
      <c r="B9" s="59">
        <v>7</v>
      </c>
      <c r="C9" s="60" t="s">
        <v>17</v>
      </c>
      <c r="D9" s="74"/>
      <c r="E9" s="61" t="s">
        <v>18</v>
      </c>
      <c r="F9" s="61"/>
    </row>
    <row r="10" spans="2:6" x14ac:dyDescent="0.25">
      <c r="B10" s="59">
        <v>8</v>
      </c>
      <c r="C10" s="60" t="s">
        <v>19</v>
      </c>
      <c r="D10" s="74"/>
      <c r="E10" s="61" t="s">
        <v>20</v>
      </c>
      <c r="F10" s="61"/>
    </row>
    <row r="11" spans="2:6" x14ac:dyDescent="0.25">
      <c r="B11" s="59">
        <v>9</v>
      </c>
      <c r="C11" s="60" t="s">
        <v>21</v>
      </c>
      <c r="D11" s="74"/>
      <c r="E11" s="61" t="s">
        <v>22</v>
      </c>
      <c r="F11" s="61"/>
    </row>
    <row r="12" spans="2:6" x14ac:dyDescent="0.25">
      <c r="B12" s="62">
        <v>10</v>
      </c>
      <c r="C12" s="63" t="s">
        <v>442</v>
      </c>
      <c r="D12" s="74"/>
      <c r="E12" s="61" t="s">
        <v>23</v>
      </c>
      <c r="F12" s="61"/>
    </row>
    <row r="13" spans="2:6" x14ac:dyDescent="0.25">
      <c r="B13" s="59">
        <v>11</v>
      </c>
      <c r="C13" s="63" t="s">
        <v>443</v>
      </c>
      <c r="D13" s="74"/>
      <c r="E13" s="61" t="s">
        <v>24</v>
      </c>
      <c r="F13" s="61"/>
    </row>
    <row r="14" spans="2:6" x14ac:dyDescent="0.25">
      <c r="B14" s="59">
        <v>12</v>
      </c>
      <c r="C14" s="63" t="s">
        <v>444</v>
      </c>
      <c r="D14" s="74"/>
      <c r="E14" s="61" t="s">
        <v>25</v>
      </c>
      <c r="F14" s="61"/>
    </row>
    <row r="15" spans="2:6" x14ac:dyDescent="0.25">
      <c r="B15" s="62">
        <v>13</v>
      </c>
      <c r="C15" s="63" t="s">
        <v>445</v>
      </c>
      <c r="D15" s="74"/>
      <c r="E15" s="61" t="s">
        <v>26</v>
      </c>
      <c r="F15" s="61"/>
    </row>
    <row r="16" spans="2:6" x14ac:dyDescent="0.25">
      <c r="B16" s="59">
        <v>14</v>
      </c>
      <c r="C16" s="63" t="s">
        <v>446</v>
      </c>
      <c r="D16" s="74"/>
      <c r="E16" s="61" t="s">
        <v>27</v>
      </c>
      <c r="F16" s="61"/>
    </row>
    <row r="17" spans="2:6" x14ac:dyDescent="0.25">
      <c r="B17" s="59">
        <v>15</v>
      </c>
      <c r="C17" s="63" t="s">
        <v>447</v>
      </c>
      <c r="D17" s="74"/>
      <c r="E17" s="61" t="s">
        <v>28</v>
      </c>
      <c r="F17" s="61"/>
    </row>
    <row r="18" spans="2:6" x14ac:dyDescent="0.25">
      <c r="B18" s="62">
        <v>16</v>
      </c>
      <c r="C18" s="63" t="s">
        <v>448</v>
      </c>
      <c r="D18" s="74"/>
      <c r="E18" s="61" t="s">
        <v>29</v>
      </c>
      <c r="F18" s="61"/>
    </row>
    <row r="19" spans="2:6" x14ac:dyDescent="0.25">
      <c r="B19" s="59">
        <v>17</v>
      </c>
      <c r="C19" s="63" t="s">
        <v>449</v>
      </c>
      <c r="D19" s="74"/>
      <c r="E19" s="61" t="s">
        <v>30</v>
      </c>
      <c r="F19" s="61"/>
    </row>
    <row r="20" spans="2:6" x14ac:dyDescent="0.25">
      <c r="B20" s="59">
        <v>18</v>
      </c>
      <c r="C20" s="63" t="s">
        <v>450</v>
      </c>
      <c r="D20" s="74"/>
      <c r="E20" s="61" t="s">
        <v>31</v>
      </c>
      <c r="F20" s="61"/>
    </row>
    <row r="21" spans="2:6" x14ac:dyDescent="0.25">
      <c r="B21" s="62">
        <v>19</v>
      </c>
      <c r="C21" s="63" t="s">
        <v>451</v>
      </c>
      <c r="D21" s="74"/>
      <c r="E21" s="61" t="s">
        <v>32</v>
      </c>
      <c r="F21" s="61"/>
    </row>
    <row r="22" spans="2:6" x14ac:dyDescent="0.25">
      <c r="B22" s="59">
        <v>20</v>
      </c>
      <c r="C22" s="63" t="s">
        <v>452</v>
      </c>
      <c r="D22" s="75"/>
      <c r="E22" s="61" t="s">
        <v>33</v>
      </c>
      <c r="F22" s="61"/>
    </row>
    <row r="23" spans="2:6" x14ac:dyDescent="0.25">
      <c r="B23" s="59">
        <v>21</v>
      </c>
      <c r="C23" s="60" t="s">
        <v>34</v>
      </c>
      <c r="D23" s="76" t="s">
        <v>35</v>
      </c>
      <c r="E23" s="61" t="s">
        <v>36</v>
      </c>
      <c r="F23" s="61"/>
    </row>
    <row r="24" spans="2:6" x14ac:dyDescent="0.25">
      <c r="B24" s="62">
        <v>22</v>
      </c>
      <c r="C24" s="60" t="s">
        <v>37</v>
      </c>
      <c r="D24" s="77"/>
      <c r="E24" s="61" t="s">
        <v>38</v>
      </c>
      <c r="F24" s="61"/>
    </row>
    <row r="25" spans="2:6" x14ac:dyDescent="0.25">
      <c r="B25" s="59">
        <v>23</v>
      </c>
      <c r="C25" s="60" t="s">
        <v>39</v>
      </c>
      <c r="D25" s="77"/>
      <c r="E25" s="61" t="s">
        <v>40</v>
      </c>
      <c r="F25" s="61"/>
    </row>
    <row r="26" spans="2:6" x14ac:dyDescent="0.25">
      <c r="B26" s="59">
        <v>24</v>
      </c>
      <c r="C26" s="60" t="s">
        <v>41</v>
      </c>
      <c r="D26" s="77"/>
      <c r="E26" s="61" t="s">
        <v>42</v>
      </c>
      <c r="F26" s="61"/>
    </row>
    <row r="27" spans="2:6" x14ac:dyDescent="0.25">
      <c r="B27" s="62">
        <v>25</v>
      </c>
      <c r="C27" s="60" t="s">
        <v>43</v>
      </c>
      <c r="D27" s="77"/>
      <c r="E27" s="61" t="s">
        <v>44</v>
      </c>
      <c r="F27" s="61"/>
    </row>
    <row r="28" spans="2:6" x14ac:dyDescent="0.25">
      <c r="B28" s="59">
        <v>26</v>
      </c>
      <c r="C28" s="60" t="s">
        <v>45</v>
      </c>
      <c r="D28" s="77"/>
      <c r="E28" s="61" t="s">
        <v>46</v>
      </c>
      <c r="F28" s="61"/>
    </row>
    <row r="29" spans="2:6" x14ac:dyDescent="0.25">
      <c r="B29" s="59">
        <v>27</v>
      </c>
      <c r="C29" s="60" t="s">
        <v>47</v>
      </c>
      <c r="D29" s="77"/>
      <c r="E29" s="61" t="s">
        <v>48</v>
      </c>
      <c r="F29" s="61"/>
    </row>
    <row r="30" spans="2:6" x14ac:dyDescent="0.25">
      <c r="B30" s="62">
        <v>28</v>
      </c>
      <c r="C30" s="60" t="s">
        <v>49</v>
      </c>
      <c r="D30" s="77"/>
      <c r="E30" s="61" t="s">
        <v>50</v>
      </c>
      <c r="F30" s="61"/>
    </row>
    <row r="31" spans="2:6" x14ac:dyDescent="0.25">
      <c r="B31" s="59">
        <v>29</v>
      </c>
      <c r="C31" s="60" t="s">
        <v>51</v>
      </c>
      <c r="D31" s="77"/>
      <c r="E31" s="61" t="s">
        <v>52</v>
      </c>
      <c r="F31" s="61"/>
    </row>
    <row r="32" spans="2:6" x14ac:dyDescent="0.25">
      <c r="B32" s="59">
        <v>30</v>
      </c>
      <c r="C32" s="60" t="s">
        <v>53</v>
      </c>
      <c r="D32" s="77"/>
      <c r="E32" s="61" t="s">
        <v>54</v>
      </c>
      <c r="F32" s="61"/>
    </row>
    <row r="33" spans="2:6" x14ac:dyDescent="0.25">
      <c r="B33" s="62">
        <v>31</v>
      </c>
      <c r="C33" s="60" t="s">
        <v>55</v>
      </c>
      <c r="D33" s="77"/>
      <c r="E33" s="61" t="s">
        <v>56</v>
      </c>
      <c r="F33" s="61"/>
    </row>
    <row r="34" spans="2:6" x14ac:dyDescent="0.25">
      <c r="B34" s="59">
        <v>32</v>
      </c>
      <c r="C34" s="60" t="s">
        <v>57</v>
      </c>
      <c r="D34" s="77"/>
      <c r="E34" s="61" t="s">
        <v>58</v>
      </c>
      <c r="F34" s="61"/>
    </row>
    <row r="35" spans="2:6" x14ac:dyDescent="0.25">
      <c r="B35" s="59">
        <v>33</v>
      </c>
      <c r="C35" s="60" t="s">
        <v>59</v>
      </c>
      <c r="D35" s="77"/>
      <c r="E35" s="61" t="s">
        <v>60</v>
      </c>
      <c r="F35" s="61"/>
    </row>
    <row r="36" spans="2:6" x14ac:dyDescent="0.25">
      <c r="B36" s="62">
        <v>34</v>
      </c>
      <c r="C36" s="60" t="s">
        <v>61</v>
      </c>
      <c r="D36" s="77"/>
      <c r="E36" s="61" t="s">
        <v>62</v>
      </c>
      <c r="F36" s="61"/>
    </row>
    <row r="37" spans="2:6" x14ac:dyDescent="0.25">
      <c r="B37" s="59">
        <v>35</v>
      </c>
      <c r="C37" s="60" t="s">
        <v>63</v>
      </c>
      <c r="D37" s="77"/>
      <c r="E37" s="61" t="s">
        <v>64</v>
      </c>
      <c r="F37" s="61"/>
    </row>
    <row r="38" spans="2:6" x14ac:dyDescent="0.25">
      <c r="B38" s="59">
        <v>36</v>
      </c>
      <c r="C38" s="60" t="s">
        <v>65</v>
      </c>
      <c r="D38" s="77"/>
      <c r="E38" s="61" t="s">
        <v>66</v>
      </c>
      <c r="F38" s="61"/>
    </row>
    <row r="39" spans="2:6" x14ac:dyDescent="0.25">
      <c r="B39" s="62">
        <v>37</v>
      </c>
      <c r="C39" s="60" t="s">
        <v>67</v>
      </c>
      <c r="D39" s="77"/>
      <c r="E39" s="61" t="s">
        <v>68</v>
      </c>
      <c r="F39" s="61"/>
    </row>
    <row r="40" spans="2:6" x14ac:dyDescent="0.25">
      <c r="B40" s="59">
        <v>38</v>
      </c>
      <c r="C40" s="60" t="s">
        <v>69</v>
      </c>
      <c r="D40" s="77"/>
      <c r="E40" s="61" t="s">
        <v>70</v>
      </c>
      <c r="F40" s="61"/>
    </row>
    <row r="41" spans="2:6" x14ac:dyDescent="0.25">
      <c r="B41" s="59">
        <v>39</v>
      </c>
      <c r="C41" s="60" t="s">
        <v>71</v>
      </c>
      <c r="D41" s="77"/>
      <c r="E41" s="61" t="s">
        <v>72</v>
      </c>
      <c r="F41" s="61"/>
    </row>
    <row r="42" spans="2:6" x14ac:dyDescent="0.25">
      <c r="B42" s="62">
        <v>40</v>
      </c>
      <c r="C42" s="60" t="s">
        <v>73</v>
      </c>
      <c r="D42" s="77"/>
      <c r="E42" s="61" t="s">
        <v>74</v>
      </c>
      <c r="F42" s="61"/>
    </row>
    <row r="43" spans="2:6" x14ac:dyDescent="0.25">
      <c r="B43" s="59">
        <v>41</v>
      </c>
      <c r="C43" s="60" t="s">
        <v>75</v>
      </c>
      <c r="D43" s="77"/>
      <c r="E43" s="61" t="s">
        <v>76</v>
      </c>
      <c r="F43" s="61"/>
    </row>
    <row r="44" spans="2:6" x14ac:dyDescent="0.25">
      <c r="B44" s="59">
        <v>42</v>
      </c>
      <c r="C44" s="60" t="s">
        <v>77</v>
      </c>
      <c r="D44" s="77"/>
      <c r="E44" s="61" t="s">
        <v>78</v>
      </c>
      <c r="F44" s="61"/>
    </row>
    <row r="45" spans="2:6" x14ac:dyDescent="0.25">
      <c r="B45" s="62">
        <v>43</v>
      </c>
      <c r="C45" s="60" t="s">
        <v>79</v>
      </c>
      <c r="D45" s="77"/>
      <c r="E45" s="61" t="s">
        <v>80</v>
      </c>
      <c r="F45" s="61"/>
    </row>
    <row r="46" spans="2:6" x14ac:dyDescent="0.25">
      <c r="B46" s="59">
        <v>44</v>
      </c>
      <c r="C46" s="60" t="s">
        <v>81</v>
      </c>
      <c r="D46" s="78"/>
      <c r="E46" s="61" t="s">
        <v>82</v>
      </c>
      <c r="F46" s="61"/>
    </row>
  </sheetData>
  <mergeCells count="3">
    <mergeCell ref="D2:E2"/>
    <mergeCell ref="D3:D22"/>
    <mergeCell ref="D23:D46"/>
  </mergeCells>
  <phoneticPr fontId="27" type="noConversion"/>
  <hyperlinks>
    <hyperlink ref="C3" location="PY_001!A1" display="PY_001" xr:uid="{00000000-0004-0000-0000-000000000000}"/>
    <hyperlink ref="C23" location="PY_101!A1" display="PY_101" xr:uid="{00000000-0004-0000-0000-000001000000}"/>
    <hyperlink ref="C24" location="PY_102!A1" display="PY_102" xr:uid="{00000000-0004-0000-0000-000002000000}"/>
    <hyperlink ref="C40" location="PY_118!A1" display="PY_118" xr:uid="{00000000-0004-0000-0000-000003000000}"/>
    <hyperlink ref="C25" location="PY_103!A1" display="PY_103" xr:uid="{00000000-0004-0000-0000-000004000000}"/>
    <hyperlink ref="C26" location="PY_104!A1" display="PY_104" xr:uid="{00000000-0004-0000-0000-000005000000}"/>
    <hyperlink ref="C27" location="PY_105!A1" display="PY_105" xr:uid="{00000000-0004-0000-0000-000006000000}"/>
    <hyperlink ref="C28" location="PY_106!A1" display="PY_106" xr:uid="{00000000-0004-0000-0000-000007000000}"/>
    <hyperlink ref="C29" location="PY_107!A1" display="PY_107" xr:uid="{00000000-0004-0000-0000-000008000000}"/>
    <hyperlink ref="C30" location="PY_108!A1" display="PY_108" xr:uid="{00000000-0004-0000-0000-000009000000}"/>
    <hyperlink ref="C31" location="PY_109!A1" display="PY_109" xr:uid="{00000000-0004-0000-0000-00000A000000}"/>
    <hyperlink ref="C32" location="PY_110!A1" display="PY_110" xr:uid="{00000000-0004-0000-0000-00000B000000}"/>
    <hyperlink ref="C33" location="PY_111!A1" display="PY_111" xr:uid="{00000000-0004-0000-0000-00000C000000}"/>
    <hyperlink ref="C34" location="PY_112!A1" display="PY_112" xr:uid="{00000000-0004-0000-0000-00000D000000}"/>
    <hyperlink ref="C35" location="PY_113!A1" display="PY_113" xr:uid="{00000000-0004-0000-0000-00000E000000}"/>
    <hyperlink ref="C36" location="PY_114!A1" display="PY_114" xr:uid="{00000000-0004-0000-0000-00000F000000}"/>
    <hyperlink ref="C37" location="PY_115!A1" display="PY_115" xr:uid="{00000000-0004-0000-0000-000010000000}"/>
    <hyperlink ref="C38" location="PY_116!A1" display="PY_116" xr:uid="{00000000-0004-0000-0000-000011000000}"/>
    <hyperlink ref="C39" location="PY_117!A1" display="PY_117" xr:uid="{00000000-0004-0000-0000-000012000000}"/>
    <hyperlink ref="C41" location="PY_119!A1" display="PY_119" xr:uid="{00000000-0004-0000-0000-000013000000}"/>
    <hyperlink ref="C42" location="PY_120!A1" display="PY_120" xr:uid="{00000000-0004-0000-0000-000014000000}"/>
    <hyperlink ref="C43" location="PY_121!A1" display="PY_121" xr:uid="{00000000-0004-0000-0000-000015000000}"/>
    <hyperlink ref="C44" location="PY_122!A1" display="PY_122" xr:uid="{00000000-0004-0000-0000-000016000000}"/>
    <hyperlink ref="C45" location="PY_123!A1" display="PY_123" xr:uid="{00000000-0004-0000-0000-000017000000}"/>
    <hyperlink ref="C46" location="PY_124!A1" display="PY_124" xr:uid="{00000000-0004-0000-0000-000018000000}"/>
    <hyperlink ref="C22" location="PY_019!A1" display="PY_019" xr:uid="{00000000-0004-0000-0000-000019000000}"/>
    <hyperlink ref="C21" location="PY_018!A1" display="PY_018" xr:uid="{00000000-0004-0000-0000-00001A000000}"/>
    <hyperlink ref="C20" location="PY_017!A1" display="PY_017" xr:uid="{00000000-0004-0000-0000-00001B000000}"/>
    <hyperlink ref="C19" location="PY_016!A1" display="PY_016" xr:uid="{00000000-0004-0000-0000-00001C000000}"/>
    <hyperlink ref="C18" location="PY_015!A1" display="PY_015" xr:uid="{00000000-0004-0000-0000-00001D000000}"/>
    <hyperlink ref="C17" location="PY_014!A1" display="PY_014" xr:uid="{00000000-0004-0000-0000-00001E000000}"/>
    <hyperlink ref="C16" location="PY_013!A1" display="PY_013" xr:uid="{00000000-0004-0000-0000-00001F000000}"/>
    <hyperlink ref="C15" location="PY_012!A1" display="PY_012" xr:uid="{00000000-0004-0000-0000-000020000000}"/>
    <hyperlink ref="C14" location="PY_011!A1" display="PY_011" xr:uid="{00000000-0004-0000-0000-000021000000}"/>
    <hyperlink ref="C13" location="PY_010!A1" display="PY_010" xr:uid="{00000000-0004-0000-0000-000022000000}"/>
    <hyperlink ref="C11" location="PY_009!A1" display="PY_009" xr:uid="{00000000-0004-0000-0000-000023000000}"/>
    <hyperlink ref="C10" location="PY_008!A1" display="PY_008" xr:uid="{00000000-0004-0000-0000-000024000000}"/>
    <hyperlink ref="C9" location="PY_007!A1" display="PY_007" xr:uid="{00000000-0004-0000-0000-000025000000}"/>
    <hyperlink ref="C8" location="PY_006!A1" display="PY_006" xr:uid="{00000000-0004-0000-0000-000026000000}"/>
    <hyperlink ref="C7" location="PY_005!A1" display="PY_005" xr:uid="{00000000-0004-0000-0000-000027000000}"/>
    <hyperlink ref="C6" location="PY_004!A1" display="PY_004" xr:uid="{00000000-0004-0000-0000-000028000000}"/>
    <hyperlink ref="C5" location="PY_003!A1" display="PY_003" xr:uid="{00000000-0004-0000-0000-000029000000}"/>
    <hyperlink ref="C4" location="PY_002!A1" display="PY_002" xr:uid="{00000000-0004-0000-0000-00002A000000}"/>
    <hyperlink ref="C12" location="PY_010!A1" display="PY_010" xr:uid="{EE6EC00D-8C40-4D6E-8197-FA7AD45F348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23"/>
  <sheetViews>
    <sheetView zoomScale="80" zoomScaleNormal="80" workbookViewId="0">
      <selection activeCell="E11" sqref="E11"/>
    </sheetView>
  </sheetViews>
  <sheetFormatPr defaultColWidth="9" defaultRowHeight="12" x14ac:dyDescent="0.25"/>
  <cols>
    <col min="1" max="1" width="6.59765625" style="2" customWidth="1"/>
    <col min="2" max="2" width="21.0976562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50" t="s">
        <v>4</v>
      </c>
      <c r="D3" s="50" t="s">
        <v>6</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99</v>
      </c>
      <c r="C8" s="11" t="s">
        <v>100</v>
      </c>
      <c r="D8" s="50" t="s">
        <v>101</v>
      </c>
      <c r="E8" s="50"/>
      <c r="F8" s="50"/>
      <c r="G8" s="11"/>
      <c r="H8" s="11"/>
      <c r="I8" s="11"/>
      <c r="J8" s="11"/>
    </row>
    <row r="9" spans="1:10" ht="60" x14ac:dyDescent="0.25">
      <c r="B9" s="11" t="s">
        <v>102</v>
      </c>
      <c r="C9" s="11" t="s">
        <v>103</v>
      </c>
      <c r="D9" s="50" t="s">
        <v>104</v>
      </c>
      <c r="E9" s="50"/>
      <c r="F9" s="50"/>
      <c r="G9" s="11"/>
      <c r="H9" s="11"/>
      <c r="I9" s="11"/>
      <c r="J9" s="11"/>
    </row>
    <row r="10" spans="1:10" ht="36" x14ac:dyDescent="0.25">
      <c r="B10" s="11" t="s">
        <v>105</v>
      </c>
      <c r="C10" s="11" t="s">
        <v>103</v>
      </c>
      <c r="D10" s="50" t="s">
        <v>106</v>
      </c>
      <c r="E10" s="50"/>
      <c r="F10" s="50"/>
      <c r="G10" s="11"/>
      <c r="H10" s="11"/>
      <c r="I10" s="11"/>
      <c r="J10" s="11"/>
    </row>
    <row r="11" spans="1:10" ht="96" x14ac:dyDescent="0.25">
      <c r="B11" s="11" t="s">
        <v>107</v>
      </c>
      <c r="C11" s="11" t="s">
        <v>103</v>
      </c>
      <c r="D11" s="50" t="s">
        <v>108</v>
      </c>
      <c r="E11" s="50"/>
      <c r="F11" s="50"/>
      <c r="G11" s="11"/>
      <c r="H11" s="11"/>
      <c r="I11" s="11"/>
      <c r="J11" s="11"/>
    </row>
    <row r="12" spans="1:10" ht="60" x14ac:dyDescent="0.25">
      <c r="B12" s="11" t="s">
        <v>109</v>
      </c>
      <c r="C12" s="11" t="s">
        <v>110</v>
      </c>
      <c r="D12" s="50" t="s">
        <v>111</v>
      </c>
      <c r="E12" s="50"/>
      <c r="F12" s="50"/>
      <c r="G12" s="11"/>
      <c r="H12" s="11"/>
      <c r="I12" s="11"/>
      <c r="J12" s="11"/>
    </row>
    <row r="13" spans="1:10" ht="36" x14ac:dyDescent="0.25">
      <c r="B13" s="11" t="s">
        <v>105</v>
      </c>
      <c r="C13" s="11" t="s">
        <v>110</v>
      </c>
      <c r="D13" s="50" t="s">
        <v>106</v>
      </c>
      <c r="E13" s="50"/>
      <c r="F13" s="50"/>
      <c r="G13" s="11"/>
      <c r="H13" s="11"/>
      <c r="I13" s="11"/>
      <c r="J13" s="11"/>
    </row>
    <row r="14" spans="1:10" ht="36" x14ac:dyDescent="0.25">
      <c r="B14" s="11" t="s">
        <v>112</v>
      </c>
      <c r="C14" s="11" t="s">
        <v>113</v>
      </c>
      <c r="D14" s="50" t="s">
        <v>114</v>
      </c>
      <c r="E14" s="50"/>
      <c r="F14" s="50"/>
      <c r="G14" s="11"/>
      <c r="H14" s="11"/>
      <c r="I14" s="11"/>
      <c r="J14" s="11"/>
    </row>
    <row r="15" spans="1:10" ht="60" x14ac:dyDescent="0.25">
      <c r="B15" s="11" t="s">
        <v>107</v>
      </c>
      <c r="C15" s="11" t="s">
        <v>113</v>
      </c>
      <c r="D15" s="50" t="s">
        <v>115</v>
      </c>
      <c r="E15" s="50"/>
      <c r="F15" s="50"/>
      <c r="G15" s="11"/>
      <c r="H15" s="11"/>
      <c r="I15" s="11"/>
      <c r="J15" s="11"/>
    </row>
    <row r="16" spans="1:10" ht="60" x14ac:dyDescent="0.25">
      <c r="B16" s="11" t="s">
        <v>116</v>
      </c>
      <c r="C16" s="11" t="s">
        <v>110</v>
      </c>
      <c r="D16" s="50" t="s">
        <v>117</v>
      </c>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19" spans="2:10" x14ac:dyDescent="0.25">
      <c r="B19" s="11"/>
      <c r="C19" s="11"/>
      <c r="D19" s="50"/>
      <c r="E19" s="50"/>
      <c r="F19" s="50"/>
      <c r="G19" s="11"/>
      <c r="H19" s="11"/>
      <c r="I19" s="11"/>
      <c r="J19" s="11"/>
    </row>
    <row r="21" spans="2:10" ht="14.4" x14ac:dyDescent="0.25">
      <c r="B21" s="79" t="s">
        <v>118</v>
      </c>
      <c r="C21" s="80"/>
      <c r="D21" s="81"/>
    </row>
    <row r="22" spans="2:10" x14ac:dyDescent="0.25">
      <c r="B22" s="10" t="s">
        <v>119</v>
      </c>
      <c r="C22" s="10" t="s">
        <v>120</v>
      </c>
      <c r="D22" s="10" t="s">
        <v>121</v>
      </c>
    </row>
    <row r="23" spans="2:10" x14ac:dyDescent="0.25">
      <c r="B23" s="11" t="s">
        <v>122</v>
      </c>
      <c r="C23" s="11"/>
      <c r="D23" s="11"/>
    </row>
  </sheetData>
  <mergeCells count="3">
    <mergeCell ref="B1:E1"/>
    <mergeCell ref="B6:J6"/>
    <mergeCell ref="B21:D21"/>
  </mergeCells>
  <phoneticPr fontId="29" type="noConversion"/>
  <dataValidations count="2">
    <dataValidation type="list" allowBlank="1" showInputMessage="1" showErrorMessage="1" sqref="E3" xr:uid="{00000000-0002-0000-0100-000000000000}">
      <formula1>"通过,部分通过,不通过"</formula1>
    </dataValidation>
    <dataValidation type="list" allowBlank="1" showInputMessage="1" showErrorMessage="1" sqref="H8:H19" xr:uid="{00000000-0002-0000-0100-000001000000}">
      <formula1>"正确,错误"</formula1>
    </dataValidation>
  </dataValidations>
  <hyperlinks>
    <hyperlink ref="A1" location="UAT测试案例清单!A1" display="返回"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23"/>
  <sheetViews>
    <sheetView workbookViewId="0"/>
  </sheetViews>
  <sheetFormatPr defaultColWidth="9" defaultRowHeight="12" x14ac:dyDescent="0.25"/>
  <cols>
    <col min="1" max="1" width="6.59765625" style="51" customWidth="1"/>
    <col min="2" max="2" width="25.5" style="51" customWidth="1"/>
    <col min="3" max="3" width="15.796875" style="51" customWidth="1"/>
    <col min="4" max="4" width="40.69921875" style="51" customWidth="1"/>
    <col min="5" max="5" width="31" style="51" customWidth="1"/>
    <col min="6" max="6" width="18.8984375" style="51" customWidth="1"/>
    <col min="7" max="7" width="16.5" style="51" customWidth="1"/>
    <col min="8" max="8" width="24.59765625" style="51" customWidth="1"/>
    <col min="9" max="9" width="24.59765625" style="2" customWidth="1"/>
    <col min="10" max="10" width="17.8984375" style="51" customWidth="1"/>
    <col min="11" max="16384" width="9" style="51"/>
  </cols>
  <sheetData>
    <row r="1" spans="1:10" ht="14.4" x14ac:dyDescent="0.25">
      <c r="A1" s="3" t="s">
        <v>83</v>
      </c>
      <c r="B1" s="79" t="s">
        <v>84</v>
      </c>
      <c r="C1" s="80"/>
      <c r="D1" s="80"/>
      <c r="E1" s="81"/>
      <c r="F1" s="2"/>
    </row>
    <row r="2" spans="1:10" x14ac:dyDescent="0.25">
      <c r="B2" s="10" t="s">
        <v>0</v>
      </c>
      <c r="C2" s="10" t="s">
        <v>85</v>
      </c>
      <c r="D2" s="10" t="s">
        <v>86</v>
      </c>
      <c r="E2" s="10" t="s">
        <v>87</v>
      </c>
      <c r="F2" s="10" t="s">
        <v>3</v>
      </c>
    </row>
    <row r="3" spans="1:10" x14ac:dyDescent="0.25">
      <c r="B3" s="50" t="s">
        <v>88</v>
      </c>
      <c r="C3" s="50" t="s">
        <v>7</v>
      </c>
      <c r="D3" s="50" t="s">
        <v>8</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99</v>
      </c>
      <c r="C8" s="11" t="s">
        <v>100</v>
      </c>
      <c r="D8" s="50" t="s">
        <v>101</v>
      </c>
      <c r="E8" s="50"/>
      <c r="F8" s="50"/>
      <c r="G8" s="11"/>
      <c r="H8" s="11"/>
      <c r="I8" s="11"/>
      <c r="J8" s="11"/>
    </row>
    <row r="9" spans="1:10" ht="36" x14ac:dyDescent="0.25">
      <c r="B9" s="11" t="s">
        <v>123</v>
      </c>
      <c r="C9" s="11" t="s">
        <v>113</v>
      </c>
      <c r="D9" s="50" t="s">
        <v>124</v>
      </c>
      <c r="E9" s="50"/>
      <c r="F9" s="50"/>
      <c r="G9" s="11"/>
      <c r="H9" s="11"/>
      <c r="I9" s="11"/>
      <c r="J9" s="11"/>
    </row>
    <row r="10" spans="1:10" ht="48" x14ac:dyDescent="0.25">
      <c r="B10" s="11" t="s">
        <v>125</v>
      </c>
      <c r="C10" s="11" t="s">
        <v>113</v>
      </c>
      <c r="D10" s="50" t="s">
        <v>126</v>
      </c>
      <c r="E10" s="50"/>
      <c r="F10" s="50"/>
      <c r="G10" s="11"/>
      <c r="H10" s="11"/>
      <c r="I10" s="11"/>
      <c r="J10" s="11"/>
    </row>
    <row r="11" spans="1:10" ht="84" x14ac:dyDescent="0.25">
      <c r="B11" s="11" t="s">
        <v>8</v>
      </c>
      <c r="C11" s="11" t="s">
        <v>113</v>
      </c>
      <c r="D11" s="50" t="s">
        <v>127</v>
      </c>
      <c r="E11" s="50"/>
      <c r="F11" s="50"/>
      <c r="G11" s="11"/>
      <c r="H11" s="11"/>
      <c r="I11" s="11"/>
      <c r="J11" s="11"/>
    </row>
    <row r="12" spans="1:10" ht="72" x14ac:dyDescent="0.25">
      <c r="B12" s="11" t="s">
        <v>128</v>
      </c>
      <c r="C12" s="11" t="s">
        <v>113</v>
      </c>
      <c r="D12" s="50" t="s">
        <v>129</v>
      </c>
      <c r="E12" s="50"/>
      <c r="F12" s="50"/>
      <c r="G12" s="11"/>
      <c r="H12" s="11"/>
      <c r="I12" s="11"/>
      <c r="J12" s="11"/>
    </row>
    <row r="13" spans="1:10" ht="36" x14ac:dyDescent="0.25">
      <c r="B13" s="11" t="s">
        <v>130</v>
      </c>
      <c r="C13" s="11" t="s">
        <v>113</v>
      </c>
      <c r="D13" s="50" t="s">
        <v>131</v>
      </c>
      <c r="E13" s="53"/>
      <c r="F13" s="53"/>
      <c r="G13" s="52"/>
      <c r="H13" s="52"/>
      <c r="I13" s="11"/>
      <c r="J13" s="52"/>
    </row>
    <row r="14" spans="1:10" x14ac:dyDescent="0.25">
      <c r="B14" s="52"/>
      <c r="C14" s="52"/>
      <c r="D14" s="53"/>
      <c r="E14" s="53"/>
      <c r="F14" s="53"/>
      <c r="G14" s="52"/>
      <c r="H14" s="52"/>
      <c r="I14" s="11"/>
      <c r="J14" s="52"/>
    </row>
    <row r="15" spans="1:10" x14ac:dyDescent="0.25">
      <c r="B15" s="52"/>
      <c r="C15" s="52"/>
      <c r="D15" s="53"/>
      <c r="E15" s="53"/>
      <c r="F15" s="53"/>
      <c r="G15" s="52"/>
      <c r="H15" s="52"/>
      <c r="I15" s="11"/>
      <c r="J15" s="52"/>
    </row>
    <row r="16" spans="1:10" x14ac:dyDescent="0.25">
      <c r="B16" s="52"/>
      <c r="C16" s="52"/>
      <c r="D16" s="53"/>
      <c r="E16" s="53"/>
      <c r="F16" s="53"/>
      <c r="G16" s="52"/>
      <c r="H16" s="52"/>
      <c r="I16" s="11"/>
      <c r="J16" s="52"/>
    </row>
    <row r="17" spans="2:10" x14ac:dyDescent="0.25">
      <c r="B17" s="52"/>
      <c r="C17" s="52"/>
      <c r="D17" s="53"/>
      <c r="E17" s="53"/>
      <c r="F17" s="53"/>
      <c r="G17" s="52"/>
      <c r="H17" s="52"/>
      <c r="I17" s="11"/>
      <c r="J17" s="52"/>
    </row>
    <row r="18" spans="2:10" x14ac:dyDescent="0.25">
      <c r="B18" s="52"/>
      <c r="C18" s="52"/>
      <c r="D18" s="53"/>
      <c r="E18" s="53"/>
      <c r="F18" s="53"/>
      <c r="G18" s="52"/>
      <c r="H18" s="52"/>
      <c r="I18" s="11"/>
      <c r="J18" s="52"/>
    </row>
    <row r="19" spans="2:10" x14ac:dyDescent="0.25">
      <c r="B19" s="52"/>
      <c r="C19" s="52"/>
      <c r="D19" s="53"/>
      <c r="E19" s="53"/>
      <c r="F19" s="53"/>
      <c r="G19" s="52"/>
      <c r="H19" s="52"/>
      <c r="I19" s="11"/>
      <c r="J19" s="52"/>
    </row>
    <row r="21" spans="2:10" ht="14.4" x14ac:dyDescent="0.25">
      <c r="B21" s="82" t="s">
        <v>118</v>
      </c>
      <c r="C21" s="83"/>
      <c r="D21" s="84"/>
    </row>
    <row r="22" spans="2:10" x14ac:dyDescent="0.25">
      <c r="B22" s="54" t="s">
        <v>119</v>
      </c>
      <c r="C22" s="54" t="s">
        <v>120</v>
      </c>
      <c r="D22" s="54" t="s">
        <v>121</v>
      </c>
    </row>
    <row r="23" spans="2:10" x14ac:dyDescent="0.25">
      <c r="B23" s="52" t="s">
        <v>122</v>
      </c>
      <c r="C23" s="52"/>
      <c r="D23" s="52"/>
    </row>
  </sheetData>
  <mergeCells count="3">
    <mergeCell ref="B1:E1"/>
    <mergeCell ref="B6:J6"/>
    <mergeCell ref="B21:D21"/>
  </mergeCells>
  <phoneticPr fontId="29" type="noConversion"/>
  <dataValidations count="2">
    <dataValidation type="list" allowBlank="1" showInputMessage="1" showErrorMessage="1" sqref="E3" xr:uid="{00000000-0002-0000-0200-000000000000}">
      <formula1>"通过,部分通过,不通过"</formula1>
    </dataValidation>
    <dataValidation type="list" allowBlank="1" showInputMessage="1" showErrorMessage="1" sqref="H8:H19" xr:uid="{00000000-0002-0000-0200-000001000000}">
      <formula1>"正确,错误"</formula1>
    </dataValidation>
  </dataValidations>
  <hyperlinks>
    <hyperlink ref="A1" location="UAT测试案例清单!A1" display="返回"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J23"/>
  <sheetViews>
    <sheetView workbookViewId="0"/>
  </sheetViews>
  <sheetFormatPr defaultColWidth="9" defaultRowHeight="12" x14ac:dyDescent="0.25"/>
  <cols>
    <col min="1" max="1" width="6.59765625" style="51" customWidth="1"/>
    <col min="2" max="2" width="25.5" style="51" customWidth="1"/>
    <col min="3" max="3" width="15.796875" style="51" customWidth="1"/>
    <col min="4" max="4" width="40.69921875" style="51" customWidth="1"/>
    <col min="5" max="5" width="31" style="51" customWidth="1"/>
    <col min="6" max="6" width="18.8984375" style="51" customWidth="1"/>
    <col min="7" max="7" width="16.5" style="51" customWidth="1"/>
    <col min="8" max="8" width="24.59765625" style="51" customWidth="1"/>
    <col min="9" max="9" width="24.59765625" style="2" customWidth="1"/>
    <col min="10" max="10" width="17.8984375" style="51" customWidth="1"/>
    <col min="11" max="16384" width="9" style="51"/>
  </cols>
  <sheetData>
    <row r="1" spans="1:10" ht="14.4" x14ac:dyDescent="0.25">
      <c r="A1" s="3" t="s">
        <v>83</v>
      </c>
      <c r="B1" s="79" t="s">
        <v>84</v>
      </c>
      <c r="C1" s="80"/>
      <c r="D1" s="80"/>
      <c r="E1" s="81"/>
      <c r="F1" s="2"/>
    </row>
    <row r="2" spans="1:10" x14ac:dyDescent="0.25">
      <c r="B2" s="10" t="s">
        <v>0</v>
      </c>
      <c r="C2" s="10" t="s">
        <v>85</v>
      </c>
      <c r="D2" s="10" t="s">
        <v>86</v>
      </c>
      <c r="E2" s="10" t="s">
        <v>87</v>
      </c>
      <c r="F2" s="10" t="s">
        <v>3</v>
      </c>
    </row>
    <row r="3" spans="1:10" x14ac:dyDescent="0.25">
      <c r="B3" s="50" t="s">
        <v>88</v>
      </c>
      <c r="C3" s="50" t="s">
        <v>9</v>
      </c>
      <c r="D3" s="50" t="s">
        <v>10</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99</v>
      </c>
      <c r="C8" s="11" t="s">
        <v>100</v>
      </c>
      <c r="D8" s="50" t="s">
        <v>101</v>
      </c>
      <c r="E8" s="50"/>
      <c r="F8" s="50"/>
      <c r="G8" s="11"/>
      <c r="H8" s="11"/>
      <c r="I8" s="11"/>
      <c r="J8" s="11"/>
    </row>
    <row r="9" spans="1:10" ht="48" x14ac:dyDescent="0.25">
      <c r="B9" s="11" t="s">
        <v>116</v>
      </c>
      <c r="C9" s="11" t="s">
        <v>110</v>
      </c>
      <c r="D9" s="50" t="s">
        <v>132</v>
      </c>
      <c r="E9" s="50"/>
      <c r="F9" s="50"/>
      <c r="G9" s="11"/>
      <c r="H9" s="11"/>
      <c r="I9" s="11"/>
      <c r="J9" s="11"/>
    </row>
    <row r="10" spans="1:10" ht="72" x14ac:dyDescent="0.25">
      <c r="B10" s="11" t="s">
        <v>10</v>
      </c>
      <c r="C10" s="11" t="s">
        <v>110</v>
      </c>
      <c r="D10" s="50" t="s">
        <v>133</v>
      </c>
      <c r="E10" s="50"/>
      <c r="F10" s="50"/>
      <c r="G10" s="11"/>
      <c r="H10" s="11"/>
      <c r="I10" s="11"/>
      <c r="J10" s="11"/>
    </row>
    <row r="11" spans="1:10" x14ac:dyDescent="0.25">
      <c r="B11" s="11"/>
      <c r="C11" s="11"/>
      <c r="D11" s="50"/>
      <c r="E11" s="50"/>
      <c r="F11" s="50"/>
      <c r="G11" s="11"/>
      <c r="H11" s="11"/>
      <c r="I11" s="11"/>
      <c r="J11" s="11"/>
    </row>
    <row r="12" spans="1:10" x14ac:dyDescent="0.25">
      <c r="B12" s="11"/>
      <c r="C12" s="11"/>
      <c r="D12" s="50"/>
      <c r="E12" s="50"/>
      <c r="F12" s="50"/>
      <c r="G12" s="11"/>
      <c r="H12" s="11"/>
      <c r="I12" s="11"/>
      <c r="J12" s="11"/>
    </row>
    <row r="13" spans="1:10" x14ac:dyDescent="0.25">
      <c r="B13" s="52"/>
      <c r="C13" s="52"/>
      <c r="D13" s="53"/>
      <c r="E13" s="53"/>
      <c r="F13" s="53"/>
      <c r="G13" s="52"/>
      <c r="H13" s="52"/>
      <c r="I13" s="11"/>
      <c r="J13" s="52"/>
    </row>
    <row r="14" spans="1:10" x14ac:dyDescent="0.25">
      <c r="B14" s="52"/>
      <c r="C14" s="52"/>
      <c r="D14" s="53"/>
      <c r="E14" s="53"/>
      <c r="F14" s="53"/>
      <c r="G14" s="52"/>
      <c r="H14" s="52"/>
      <c r="I14" s="11"/>
      <c r="J14" s="52"/>
    </row>
    <row r="15" spans="1:10" x14ac:dyDescent="0.25">
      <c r="B15" s="52"/>
      <c r="C15" s="52"/>
      <c r="D15" s="53"/>
      <c r="E15" s="53"/>
      <c r="F15" s="53"/>
      <c r="G15" s="52"/>
      <c r="H15" s="52"/>
      <c r="I15" s="11"/>
      <c r="J15" s="52"/>
    </row>
    <row r="16" spans="1:10" x14ac:dyDescent="0.25">
      <c r="B16" s="52"/>
      <c r="C16" s="52"/>
      <c r="D16" s="53"/>
      <c r="E16" s="53"/>
      <c r="F16" s="53"/>
      <c r="G16" s="52"/>
      <c r="H16" s="52"/>
      <c r="I16" s="11"/>
      <c r="J16" s="52"/>
    </row>
    <row r="17" spans="2:10" x14ac:dyDescent="0.25">
      <c r="B17" s="52"/>
      <c r="C17" s="52"/>
      <c r="D17" s="53"/>
      <c r="E17" s="53"/>
      <c r="F17" s="53"/>
      <c r="G17" s="52"/>
      <c r="H17" s="52"/>
      <c r="I17" s="11"/>
      <c r="J17" s="52"/>
    </row>
    <row r="18" spans="2:10" x14ac:dyDescent="0.25">
      <c r="B18" s="52"/>
      <c r="C18" s="52"/>
      <c r="D18" s="53"/>
      <c r="E18" s="53"/>
      <c r="F18" s="53"/>
      <c r="G18" s="52"/>
      <c r="H18" s="52"/>
      <c r="I18" s="11"/>
      <c r="J18" s="52"/>
    </row>
    <row r="19" spans="2:10" x14ac:dyDescent="0.25">
      <c r="B19" s="52"/>
      <c r="C19" s="52"/>
      <c r="D19" s="53"/>
      <c r="E19" s="53"/>
      <c r="F19" s="53"/>
      <c r="G19" s="52"/>
      <c r="H19" s="52"/>
      <c r="I19" s="11"/>
      <c r="J19" s="52"/>
    </row>
    <row r="21" spans="2:10" ht="14.4" x14ac:dyDescent="0.25">
      <c r="B21" s="82" t="s">
        <v>118</v>
      </c>
      <c r="C21" s="83"/>
      <c r="D21" s="84"/>
    </row>
    <row r="22" spans="2:10" x14ac:dyDescent="0.25">
      <c r="B22" s="54" t="s">
        <v>119</v>
      </c>
      <c r="C22" s="54" t="s">
        <v>120</v>
      </c>
      <c r="D22" s="54" t="s">
        <v>121</v>
      </c>
    </row>
    <row r="23" spans="2:10" x14ac:dyDescent="0.25">
      <c r="B23" s="52" t="s">
        <v>122</v>
      </c>
      <c r="C23" s="52"/>
      <c r="D23" s="52"/>
    </row>
  </sheetData>
  <mergeCells count="3">
    <mergeCell ref="B1:E1"/>
    <mergeCell ref="B6:J6"/>
    <mergeCell ref="B21:D21"/>
  </mergeCells>
  <phoneticPr fontId="29" type="noConversion"/>
  <dataValidations count="2">
    <dataValidation type="list" allowBlank="1" showInputMessage="1" showErrorMessage="1" sqref="E3" xr:uid="{00000000-0002-0000-0300-000000000000}">
      <formula1>"通过,部分通过,不通过"</formula1>
    </dataValidation>
    <dataValidation type="list" allowBlank="1" showInputMessage="1" showErrorMessage="1" sqref="H8:H19" xr:uid="{00000000-0002-0000-0300-000001000000}">
      <formula1>"正确,错误"</formula1>
    </dataValidation>
  </dataValidations>
  <hyperlinks>
    <hyperlink ref="A1" location="UAT测试案例清单!A1" display="返回"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23"/>
  <sheetViews>
    <sheetView workbookViewId="0"/>
  </sheetViews>
  <sheetFormatPr defaultColWidth="9" defaultRowHeight="12" x14ac:dyDescent="0.25"/>
  <cols>
    <col min="1" max="1" width="6.59765625" style="51" customWidth="1"/>
    <col min="2" max="2" width="25.5" style="51" customWidth="1"/>
    <col min="3" max="3" width="15.796875" style="51" customWidth="1"/>
    <col min="4" max="4" width="40.69921875" style="51" customWidth="1"/>
    <col min="5" max="5" width="31" style="51" customWidth="1"/>
    <col min="6" max="6" width="18.8984375" style="51" customWidth="1"/>
    <col min="7" max="7" width="16.5" style="51" customWidth="1"/>
    <col min="8" max="8" width="24.59765625" style="51" customWidth="1"/>
    <col min="9" max="9" width="24.59765625" style="2" customWidth="1"/>
    <col min="10" max="10" width="17.8984375" style="51" customWidth="1"/>
    <col min="11" max="16384" width="9" style="51"/>
  </cols>
  <sheetData>
    <row r="1" spans="1:10" ht="14.4" x14ac:dyDescent="0.25">
      <c r="A1" s="3" t="s">
        <v>83</v>
      </c>
      <c r="B1" s="79" t="s">
        <v>84</v>
      </c>
      <c r="C1" s="80"/>
      <c r="D1" s="80"/>
      <c r="E1" s="81"/>
      <c r="F1" s="2"/>
    </row>
    <row r="2" spans="1:10" x14ac:dyDescent="0.25">
      <c r="B2" s="10" t="s">
        <v>0</v>
      </c>
      <c r="C2" s="10" t="s">
        <v>85</v>
      </c>
      <c r="D2" s="10" t="s">
        <v>86</v>
      </c>
      <c r="E2" s="10" t="s">
        <v>87</v>
      </c>
      <c r="F2" s="10" t="s">
        <v>3</v>
      </c>
    </row>
    <row r="3" spans="1:10" x14ac:dyDescent="0.25">
      <c r="B3" s="50" t="s">
        <v>88</v>
      </c>
      <c r="C3" s="50" t="s">
        <v>11</v>
      </c>
      <c r="D3" s="50" t="s">
        <v>12</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99</v>
      </c>
      <c r="C8" s="11" t="s">
        <v>100</v>
      </c>
      <c r="D8" s="50" t="s">
        <v>101</v>
      </c>
      <c r="E8" s="50"/>
      <c r="F8" s="50"/>
      <c r="G8" s="11"/>
      <c r="H8" s="11"/>
      <c r="I8" s="11"/>
      <c r="J8" s="11"/>
    </row>
    <row r="9" spans="1:10" ht="36" x14ac:dyDescent="0.25">
      <c r="B9" s="11" t="s">
        <v>134</v>
      </c>
      <c r="C9" s="11" t="s">
        <v>135</v>
      </c>
      <c r="D9" s="50" t="s">
        <v>136</v>
      </c>
      <c r="E9" s="50"/>
      <c r="F9" s="50"/>
      <c r="G9" s="11"/>
      <c r="H9" s="11"/>
      <c r="I9" s="11"/>
      <c r="J9" s="11"/>
    </row>
    <row r="10" spans="1:10" ht="48" x14ac:dyDescent="0.25">
      <c r="B10" s="11" t="s">
        <v>137</v>
      </c>
      <c r="C10" s="11" t="s">
        <v>135</v>
      </c>
      <c r="D10" s="50" t="s">
        <v>138</v>
      </c>
      <c r="E10" s="50"/>
      <c r="F10" s="50"/>
      <c r="G10" s="11"/>
      <c r="H10" s="11"/>
      <c r="I10" s="11"/>
      <c r="J10" s="11"/>
    </row>
    <row r="11" spans="1:10" ht="108" x14ac:dyDescent="0.25">
      <c r="B11" s="11" t="s">
        <v>139</v>
      </c>
      <c r="C11" s="11" t="s">
        <v>135</v>
      </c>
      <c r="D11" s="50" t="s">
        <v>140</v>
      </c>
      <c r="E11" s="50"/>
      <c r="F11" s="50"/>
      <c r="G11" s="11"/>
      <c r="H11" s="11"/>
      <c r="I11" s="11"/>
      <c r="J11" s="11"/>
    </row>
    <row r="12" spans="1:10" ht="48" x14ac:dyDescent="0.25">
      <c r="B12" s="11" t="s">
        <v>141</v>
      </c>
      <c r="C12" s="11" t="s">
        <v>135</v>
      </c>
      <c r="D12" s="50" t="s">
        <v>142</v>
      </c>
      <c r="E12" s="50"/>
      <c r="F12" s="50"/>
      <c r="G12" s="11"/>
      <c r="H12" s="11"/>
      <c r="I12" s="11"/>
      <c r="J12" s="11"/>
    </row>
    <row r="13" spans="1:10" x14ac:dyDescent="0.25">
      <c r="B13" s="52"/>
      <c r="C13" s="52"/>
      <c r="D13" s="53"/>
      <c r="E13" s="53"/>
      <c r="F13" s="53"/>
      <c r="G13" s="52"/>
      <c r="H13" s="52"/>
      <c r="I13" s="11"/>
      <c r="J13" s="52"/>
    </row>
    <row r="14" spans="1:10" x14ac:dyDescent="0.25">
      <c r="B14" s="52"/>
      <c r="C14" s="52"/>
      <c r="D14" s="53"/>
      <c r="E14" s="53"/>
      <c r="F14" s="53"/>
      <c r="G14" s="52"/>
      <c r="H14" s="52"/>
      <c r="I14" s="11"/>
      <c r="J14" s="52"/>
    </row>
    <row r="15" spans="1:10" x14ac:dyDescent="0.25">
      <c r="B15" s="52"/>
      <c r="C15" s="52"/>
      <c r="D15" s="53"/>
      <c r="E15" s="53"/>
      <c r="F15" s="53"/>
      <c r="G15" s="52"/>
      <c r="H15" s="52"/>
      <c r="I15" s="11"/>
      <c r="J15" s="52"/>
    </row>
    <row r="16" spans="1:10" x14ac:dyDescent="0.25">
      <c r="B16" s="52"/>
      <c r="C16" s="52"/>
      <c r="D16" s="53"/>
      <c r="E16" s="53"/>
      <c r="F16" s="53"/>
      <c r="G16" s="52"/>
      <c r="H16" s="52"/>
      <c r="I16" s="11"/>
      <c r="J16" s="52"/>
    </row>
    <row r="17" spans="2:10" x14ac:dyDescent="0.25">
      <c r="B17" s="52"/>
      <c r="C17" s="52"/>
      <c r="D17" s="53"/>
      <c r="E17" s="53"/>
      <c r="F17" s="53"/>
      <c r="G17" s="52"/>
      <c r="H17" s="52"/>
      <c r="I17" s="11"/>
      <c r="J17" s="52"/>
    </row>
    <row r="18" spans="2:10" x14ac:dyDescent="0.25">
      <c r="B18" s="52"/>
      <c r="C18" s="52"/>
      <c r="D18" s="53"/>
      <c r="E18" s="53"/>
      <c r="F18" s="53"/>
      <c r="G18" s="52"/>
      <c r="H18" s="52"/>
      <c r="I18" s="11"/>
      <c r="J18" s="52"/>
    </row>
    <row r="19" spans="2:10" x14ac:dyDescent="0.25">
      <c r="B19" s="52"/>
      <c r="C19" s="52"/>
      <c r="D19" s="53"/>
      <c r="E19" s="53"/>
      <c r="F19" s="53"/>
      <c r="G19" s="52"/>
      <c r="H19" s="52"/>
      <c r="I19" s="11"/>
      <c r="J19" s="52"/>
    </row>
    <row r="21" spans="2:10" ht="14.4" x14ac:dyDescent="0.25">
      <c r="B21" s="82" t="s">
        <v>118</v>
      </c>
      <c r="C21" s="83"/>
      <c r="D21" s="84"/>
    </row>
    <row r="22" spans="2:10" x14ac:dyDescent="0.25">
      <c r="B22" s="54" t="s">
        <v>119</v>
      </c>
      <c r="C22" s="54" t="s">
        <v>120</v>
      </c>
      <c r="D22" s="54" t="s">
        <v>121</v>
      </c>
    </row>
    <row r="23" spans="2:10" x14ac:dyDescent="0.25">
      <c r="B23" s="52" t="s">
        <v>122</v>
      </c>
      <c r="C23" s="52"/>
      <c r="D23" s="52"/>
    </row>
  </sheetData>
  <mergeCells count="3">
    <mergeCell ref="B1:E1"/>
    <mergeCell ref="B6:J6"/>
    <mergeCell ref="B21:D21"/>
  </mergeCells>
  <phoneticPr fontId="29" type="noConversion"/>
  <dataValidations count="2">
    <dataValidation type="list" allowBlank="1" showInputMessage="1" showErrorMessage="1" sqref="E3" xr:uid="{00000000-0002-0000-0400-000000000000}">
      <formula1>"通过,部分通过,不通过"</formula1>
    </dataValidation>
    <dataValidation type="list" allowBlank="1" showInputMessage="1" showErrorMessage="1" sqref="H8:H19" xr:uid="{00000000-0002-0000-0400-000001000000}">
      <formula1>"正确,错误"</formula1>
    </dataValidation>
  </dataValidations>
  <hyperlinks>
    <hyperlink ref="A1" location="UAT测试案例清单!A1" display="返回"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23"/>
  <sheetViews>
    <sheetView workbookViewId="0">
      <selection activeCell="E11" sqref="E11"/>
    </sheetView>
  </sheetViews>
  <sheetFormatPr defaultColWidth="9" defaultRowHeight="12" x14ac:dyDescent="0.25"/>
  <cols>
    <col min="1" max="1" width="6.59765625" style="2" customWidth="1"/>
    <col min="2" max="2" width="17.5976562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50" t="s">
        <v>13</v>
      </c>
      <c r="D3" s="50" t="s">
        <v>14</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99</v>
      </c>
      <c r="C8" s="11" t="s">
        <v>143</v>
      </c>
      <c r="D8" s="50" t="s">
        <v>144</v>
      </c>
      <c r="E8" s="50"/>
      <c r="F8" s="50"/>
      <c r="G8" s="11"/>
      <c r="H8" s="11"/>
      <c r="I8" s="11"/>
      <c r="J8" s="11"/>
    </row>
    <row r="9" spans="1:10" ht="36" x14ac:dyDescent="0.25">
      <c r="B9" s="11" t="s">
        <v>145</v>
      </c>
      <c r="C9" s="11" t="s">
        <v>146</v>
      </c>
      <c r="D9" s="50" t="s">
        <v>147</v>
      </c>
      <c r="E9" s="50"/>
      <c r="F9" s="50"/>
      <c r="G9" s="11"/>
      <c r="H9" s="11"/>
      <c r="I9" s="11"/>
      <c r="J9" s="11"/>
    </row>
    <row r="10" spans="1:10" ht="48" x14ac:dyDescent="0.25">
      <c r="B10" s="11" t="s">
        <v>148</v>
      </c>
      <c r="C10" s="11" t="s">
        <v>146</v>
      </c>
      <c r="D10" s="50" t="s">
        <v>149</v>
      </c>
      <c r="E10" s="50"/>
      <c r="F10" s="50"/>
      <c r="G10" s="11"/>
      <c r="H10" s="11"/>
      <c r="I10" s="11"/>
      <c r="J10" s="11"/>
    </row>
    <row r="11" spans="1:10" ht="48" x14ac:dyDescent="0.25">
      <c r="B11" s="11" t="s">
        <v>150</v>
      </c>
      <c r="C11" s="11" t="s">
        <v>151</v>
      </c>
      <c r="D11" s="50" t="s">
        <v>152</v>
      </c>
      <c r="E11" s="50"/>
      <c r="F11" s="50"/>
      <c r="G11" s="11"/>
      <c r="H11" s="11"/>
      <c r="I11" s="11"/>
      <c r="J11" s="11"/>
    </row>
    <row r="12" spans="1:10" x14ac:dyDescent="0.25">
      <c r="B12" s="11"/>
      <c r="C12" s="11"/>
      <c r="D12" s="50"/>
      <c r="E12" s="50"/>
      <c r="F12" s="50"/>
      <c r="G12" s="11"/>
      <c r="H12" s="11"/>
      <c r="I12" s="11"/>
      <c r="J12" s="11"/>
    </row>
    <row r="13" spans="1:10" x14ac:dyDescent="0.25">
      <c r="B13" s="11"/>
      <c r="C13" s="11"/>
      <c r="D13" s="50"/>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19" spans="2:10" x14ac:dyDescent="0.25">
      <c r="B19" s="11"/>
      <c r="C19" s="11"/>
      <c r="D19" s="50"/>
      <c r="E19" s="50"/>
      <c r="F19" s="50"/>
      <c r="G19" s="11"/>
      <c r="H19" s="11"/>
      <c r="I19" s="11"/>
      <c r="J19" s="11"/>
    </row>
    <row r="21" spans="2:10" ht="14.4" x14ac:dyDescent="0.25">
      <c r="B21" s="79" t="s">
        <v>118</v>
      </c>
      <c r="C21" s="80"/>
      <c r="D21" s="81"/>
    </row>
    <row r="22" spans="2:10" x14ac:dyDescent="0.25">
      <c r="B22" s="10" t="s">
        <v>119</v>
      </c>
      <c r="C22" s="10" t="s">
        <v>120</v>
      </c>
      <c r="D22" s="10" t="s">
        <v>121</v>
      </c>
    </row>
    <row r="23" spans="2:10" x14ac:dyDescent="0.25">
      <c r="B23" s="11" t="s">
        <v>122</v>
      </c>
      <c r="C23" s="11"/>
      <c r="D23" s="11"/>
    </row>
  </sheetData>
  <mergeCells count="3">
    <mergeCell ref="B1:E1"/>
    <mergeCell ref="B6:J6"/>
    <mergeCell ref="B21:D21"/>
  </mergeCells>
  <phoneticPr fontId="29" type="noConversion"/>
  <dataValidations count="2">
    <dataValidation type="list" allowBlank="1" showInputMessage="1" showErrorMessage="1" sqref="E3" xr:uid="{00000000-0002-0000-0500-000000000000}">
      <formula1>"通过,部分通过,不通过"</formula1>
    </dataValidation>
    <dataValidation type="list" allowBlank="1" showInputMessage="1" showErrorMessage="1" sqref="H8:H19" xr:uid="{00000000-0002-0000-0500-000001000000}">
      <formula1>"正确,错误"</formula1>
    </dataValidation>
  </dataValidations>
  <hyperlinks>
    <hyperlink ref="A1" location="UAT测试案例清单!A1" display="返回"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J23"/>
  <sheetViews>
    <sheetView workbookViewId="0"/>
  </sheetViews>
  <sheetFormatPr defaultColWidth="9" defaultRowHeight="12" x14ac:dyDescent="0.25"/>
  <cols>
    <col min="1" max="1" width="6.59765625" style="2" customWidth="1"/>
    <col min="2" max="2" width="17.5976562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50" t="s">
        <v>15</v>
      </c>
      <c r="D3" s="50" t="s">
        <v>16</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153</v>
      </c>
      <c r="C8" s="11" t="s">
        <v>143</v>
      </c>
      <c r="D8" s="50" t="s">
        <v>154</v>
      </c>
      <c r="E8" s="50"/>
      <c r="F8" s="50"/>
      <c r="G8" s="11"/>
      <c r="H8" s="11"/>
      <c r="I8" s="11"/>
      <c r="J8" s="11"/>
    </row>
    <row r="9" spans="1:10" ht="36" x14ac:dyDescent="0.25">
      <c r="B9" s="11" t="s">
        <v>145</v>
      </c>
      <c r="C9" s="11" t="s">
        <v>146</v>
      </c>
      <c r="D9" s="50" t="s">
        <v>155</v>
      </c>
      <c r="E9" s="50"/>
      <c r="F9" s="50"/>
      <c r="G9" s="11"/>
      <c r="H9" s="11"/>
      <c r="I9" s="11"/>
      <c r="J9" s="11"/>
    </row>
    <row r="10" spans="1:10" ht="60" x14ac:dyDescent="0.25">
      <c r="B10" s="11" t="s">
        <v>156</v>
      </c>
      <c r="C10" s="11" t="s">
        <v>146</v>
      </c>
      <c r="D10" s="50" t="s">
        <v>157</v>
      </c>
      <c r="E10" s="50"/>
      <c r="F10" s="50"/>
      <c r="G10" s="11"/>
      <c r="H10" s="11"/>
      <c r="I10" s="11"/>
      <c r="J10" s="11"/>
    </row>
    <row r="11" spans="1:10" ht="36" x14ac:dyDescent="0.25">
      <c r="B11" s="11" t="s">
        <v>158</v>
      </c>
      <c r="C11" s="11" t="s">
        <v>159</v>
      </c>
      <c r="D11" s="50" t="s">
        <v>160</v>
      </c>
      <c r="E11" s="50"/>
      <c r="F11" s="50"/>
      <c r="G11" s="11"/>
      <c r="H11" s="11"/>
      <c r="I11" s="11"/>
      <c r="J11" s="11"/>
    </row>
    <row r="12" spans="1:10" ht="84" x14ac:dyDescent="0.25">
      <c r="B12" s="11" t="s">
        <v>161</v>
      </c>
      <c r="C12" s="11" t="s">
        <v>159</v>
      </c>
      <c r="D12" s="50" t="s">
        <v>162</v>
      </c>
      <c r="E12" s="50"/>
      <c r="F12" s="50"/>
      <c r="G12" s="11"/>
      <c r="H12" s="11"/>
      <c r="I12" s="11"/>
      <c r="J12" s="11"/>
    </row>
    <row r="13" spans="1:10" ht="48" x14ac:dyDescent="0.25">
      <c r="B13" s="11" t="s">
        <v>150</v>
      </c>
      <c r="C13" s="11" t="s">
        <v>151</v>
      </c>
      <c r="D13" s="50" t="s">
        <v>152</v>
      </c>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19" spans="2:10" x14ac:dyDescent="0.25">
      <c r="B19" s="11"/>
      <c r="C19" s="11"/>
      <c r="D19" s="50"/>
      <c r="E19" s="50"/>
      <c r="F19" s="50"/>
      <c r="G19" s="11"/>
      <c r="H19" s="11"/>
      <c r="I19" s="11"/>
      <c r="J19" s="11"/>
    </row>
    <row r="21" spans="2:10" ht="14.4" x14ac:dyDescent="0.25">
      <c r="B21" s="79" t="s">
        <v>118</v>
      </c>
      <c r="C21" s="80"/>
      <c r="D21" s="81"/>
    </row>
    <row r="22" spans="2:10" x14ac:dyDescent="0.25">
      <c r="B22" s="10" t="s">
        <v>119</v>
      </c>
      <c r="C22" s="10" t="s">
        <v>120</v>
      </c>
      <c r="D22" s="10" t="s">
        <v>121</v>
      </c>
    </row>
    <row r="23" spans="2:10" x14ac:dyDescent="0.25">
      <c r="B23" s="11" t="s">
        <v>122</v>
      </c>
      <c r="C23" s="11"/>
      <c r="D23" s="11"/>
    </row>
  </sheetData>
  <mergeCells count="3">
    <mergeCell ref="B1:E1"/>
    <mergeCell ref="B6:J6"/>
    <mergeCell ref="B21:D21"/>
  </mergeCells>
  <phoneticPr fontId="29" type="noConversion"/>
  <dataValidations count="2">
    <dataValidation type="list" allowBlank="1" showInputMessage="1" showErrorMessage="1" sqref="E3" xr:uid="{00000000-0002-0000-0600-000000000000}">
      <formula1>"通过,部分通过,不通过"</formula1>
    </dataValidation>
    <dataValidation type="list" allowBlank="1" showInputMessage="1" showErrorMessage="1" sqref="H8:H19" xr:uid="{00000000-0002-0000-0600-000001000000}">
      <formula1>"正确,错误"</formula1>
    </dataValidation>
  </dataValidations>
  <hyperlinks>
    <hyperlink ref="A1" location="UAT测试案例清单!A1" display="返回"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J23"/>
  <sheetViews>
    <sheetView workbookViewId="0"/>
  </sheetViews>
  <sheetFormatPr defaultColWidth="9" defaultRowHeight="12" x14ac:dyDescent="0.25"/>
  <cols>
    <col min="1" max="1" width="6.59765625" style="2" customWidth="1"/>
    <col min="2" max="2" width="17.5976562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50" t="s">
        <v>17</v>
      </c>
      <c r="D3" s="50" t="s">
        <v>18</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163</v>
      </c>
      <c r="C8" s="11" t="s">
        <v>164</v>
      </c>
      <c r="D8" s="50" t="s">
        <v>165</v>
      </c>
      <c r="E8" s="50"/>
      <c r="F8" s="50"/>
      <c r="G8" s="11"/>
      <c r="H8" s="11"/>
      <c r="I8" s="11"/>
      <c r="J8" s="11"/>
    </row>
    <row r="9" spans="1:10" ht="60" x14ac:dyDescent="0.25">
      <c r="B9" s="11" t="s">
        <v>166</v>
      </c>
      <c r="C9" s="11" t="s">
        <v>167</v>
      </c>
      <c r="D9" s="50" t="s">
        <v>168</v>
      </c>
      <c r="E9" s="50"/>
      <c r="F9" s="50"/>
      <c r="G9" s="11"/>
      <c r="H9" s="11"/>
      <c r="I9" s="11"/>
      <c r="J9" s="11"/>
    </row>
    <row r="10" spans="1:10" ht="96" x14ac:dyDescent="0.25">
      <c r="B10" s="11" t="s">
        <v>158</v>
      </c>
      <c r="C10" s="11" t="s">
        <v>159</v>
      </c>
      <c r="D10" s="50" t="s">
        <v>169</v>
      </c>
      <c r="E10" s="50"/>
      <c r="F10" s="50"/>
      <c r="G10" s="11"/>
      <c r="H10" s="11"/>
      <c r="I10" s="11"/>
      <c r="J10" s="11"/>
    </row>
    <row r="11" spans="1:10" x14ac:dyDescent="0.25">
      <c r="B11" s="11"/>
      <c r="C11" s="11"/>
      <c r="D11" s="50"/>
      <c r="E11" s="50"/>
      <c r="F11" s="50"/>
      <c r="G11" s="11"/>
      <c r="H11" s="11"/>
      <c r="I11" s="11"/>
      <c r="J11" s="11"/>
    </row>
    <row r="12" spans="1:10" x14ac:dyDescent="0.25">
      <c r="B12" s="11"/>
      <c r="C12" s="11"/>
      <c r="D12" s="50"/>
      <c r="E12" s="50"/>
      <c r="F12" s="50"/>
      <c r="G12" s="11"/>
      <c r="H12" s="11"/>
      <c r="I12" s="11"/>
      <c r="J12" s="11"/>
    </row>
    <row r="13" spans="1:10" x14ac:dyDescent="0.25">
      <c r="B13" s="11"/>
      <c r="C13" s="11"/>
      <c r="D13" s="50"/>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19" spans="2:10" x14ac:dyDescent="0.25">
      <c r="B19" s="11"/>
      <c r="C19" s="11"/>
      <c r="D19" s="50"/>
      <c r="E19" s="50"/>
      <c r="F19" s="50"/>
      <c r="G19" s="11"/>
      <c r="H19" s="11"/>
      <c r="I19" s="11"/>
      <c r="J19" s="11"/>
    </row>
    <row r="21" spans="2:10" ht="14.4" x14ac:dyDescent="0.25">
      <c r="B21" s="79" t="s">
        <v>118</v>
      </c>
      <c r="C21" s="80"/>
      <c r="D21" s="81"/>
    </row>
    <row r="22" spans="2:10" x14ac:dyDescent="0.25">
      <c r="B22" s="10" t="s">
        <v>119</v>
      </c>
      <c r="C22" s="10" t="s">
        <v>120</v>
      </c>
      <c r="D22" s="10" t="s">
        <v>121</v>
      </c>
    </row>
    <row r="23" spans="2:10" x14ac:dyDescent="0.25">
      <c r="B23" s="11" t="s">
        <v>122</v>
      </c>
      <c r="C23" s="11"/>
      <c r="D23" s="11"/>
    </row>
  </sheetData>
  <mergeCells count="3">
    <mergeCell ref="B1:E1"/>
    <mergeCell ref="B6:J6"/>
    <mergeCell ref="B21:D21"/>
  </mergeCells>
  <phoneticPr fontId="29" type="noConversion"/>
  <dataValidations count="2">
    <dataValidation type="list" allowBlank="1" showInputMessage="1" showErrorMessage="1" sqref="E3" xr:uid="{00000000-0002-0000-0700-000000000000}">
      <formula1>"通过,部分通过,不通过"</formula1>
    </dataValidation>
    <dataValidation type="list" allowBlank="1" showInputMessage="1" showErrorMessage="1" sqref="H8:H19" xr:uid="{00000000-0002-0000-0700-000001000000}">
      <formula1>"正确,错误"</formula1>
    </dataValidation>
  </dataValidations>
  <hyperlinks>
    <hyperlink ref="A1" location="UAT测试案例清单!A1" display="返回"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J22"/>
  <sheetViews>
    <sheetView workbookViewId="0">
      <selection activeCell="E16" sqref="E16"/>
    </sheetView>
  </sheetViews>
  <sheetFormatPr defaultColWidth="9" defaultRowHeight="12" x14ac:dyDescent="0.25"/>
  <cols>
    <col min="1" max="1" width="6.59765625" style="2" customWidth="1"/>
    <col min="2" max="2" width="17.5976562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50" t="s">
        <v>19</v>
      </c>
      <c r="D3" s="50" t="s">
        <v>20</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60" x14ac:dyDescent="0.25">
      <c r="B8" s="11" t="s">
        <v>170</v>
      </c>
      <c r="C8" s="11" t="s">
        <v>171</v>
      </c>
      <c r="D8" s="50" t="s">
        <v>172</v>
      </c>
      <c r="E8" s="50"/>
      <c r="F8" s="50"/>
      <c r="G8" s="11"/>
      <c r="H8" s="11"/>
      <c r="I8" s="11"/>
      <c r="J8" s="11"/>
    </row>
    <row r="9" spans="1:10" ht="84" x14ac:dyDescent="0.25">
      <c r="B9" s="11" t="s">
        <v>173</v>
      </c>
      <c r="C9" s="11" t="s">
        <v>174</v>
      </c>
      <c r="D9" s="50" t="s">
        <v>175</v>
      </c>
      <c r="E9" s="50"/>
      <c r="F9" s="50"/>
      <c r="G9" s="11"/>
      <c r="H9" s="11"/>
      <c r="I9" s="11"/>
      <c r="J9" s="11"/>
    </row>
    <row r="10" spans="1:10" ht="156" x14ac:dyDescent="0.25">
      <c r="B10" s="11" t="s">
        <v>176</v>
      </c>
      <c r="C10" s="11" t="s">
        <v>177</v>
      </c>
      <c r="D10" s="50" t="s">
        <v>178</v>
      </c>
      <c r="E10" s="50"/>
      <c r="F10" s="50"/>
      <c r="G10" s="11"/>
      <c r="H10" s="11"/>
      <c r="I10" s="11"/>
      <c r="J10" s="11"/>
    </row>
    <row r="11" spans="1:10" ht="60" x14ac:dyDescent="0.25">
      <c r="B11" s="11" t="s">
        <v>179</v>
      </c>
      <c r="C11" s="11" t="s">
        <v>177</v>
      </c>
      <c r="D11" s="50" t="s">
        <v>180</v>
      </c>
      <c r="E11" s="50"/>
      <c r="F11" s="50"/>
      <c r="G11" s="11"/>
      <c r="H11" s="11"/>
      <c r="I11" s="11"/>
      <c r="J11" s="11"/>
    </row>
    <row r="12" spans="1:10" x14ac:dyDescent="0.25">
      <c r="B12" s="11"/>
      <c r="C12" s="11"/>
      <c r="D12" s="50"/>
      <c r="E12" s="50"/>
      <c r="F12" s="50"/>
      <c r="G12" s="11"/>
      <c r="H12" s="11"/>
      <c r="I12" s="11"/>
      <c r="J12" s="11"/>
    </row>
    <row r="13" spans="1:10" x14ac:dyDescent="0.25">
      <c r="B13" s="11"/>
      <c r="C13" s="11"/>
      <c r="D13" s="50"/>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20" spans="2:10" ht="14.4" x14ac:dyDescent="0.25">
      <c r="B20" s="79" t="s">
        <v>118</v>
      </c>
      <c r="C20" s="80"/>
      <c r="D20" s="81"/>
    </row>
    <row r="21" spans="2:10" x14ac:dyDescent="0.25">
      <c r="B21" s="10" t="s">
        <v>119</v>
      </c>
      <c r="C21" s="10" t="s">
        <v>120</v>
      </c>
      <c r="D21" s="10" t="s">
        <v>121</v>
      </c>
    </row>
    <row r="22" spans="2:10" x14ac:dyDescent="0.25">
      <c r="B22" s="11" t="s">
        <v>122</v>
      </c>
      <c r="C22" s="11"/>
      <c r="D22" s="11"/>
    </row>
  </sheetData>
  <mergeCells count="3">
    <mergeCell ref="B1:E1"/>
    <mergeCell ref="B6:J6"/>
    <mergeCell ref="B20:D20"/>
  </mergeCells>
  <phoneticPr fontId="29" type="noConversion"/>
  <dataValidations count="2">
    <dataValidation type="list" allowBlank="1" showInputMessage="1" showErrorMessage="1" sqref="E3" xr:uid="{00000000-0002-0000-0800-000000000000}">
      <formula1>"通过,部分通过,不通过"</formula1>
    </dataValidation>
    <dataValidation type="list" allowBlank="1" showInputMessage="1" showErrorMessage="1" sqref="H8:H18" xr:uid="{00000000-0002-0000-0800-000001000000}">
      <formula1>"正确,错误"</formula1>
    </dataValidation>
  </dataValidations>
  <hyperlinks>
    <hyperlink ref="A1" location="UAT测试案例清单!A1" display="返回"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J22"/>
  <sheetViews>
    <sheetView workbookViewId="0"/>
  </sheetViews>
  <sheetFormatPr defaultColWidth="9" defaultRowHeight="12" x14ac:dyDescent="0.25"/>
  <cols>
    <col min="1" max="1" width="6.59765625" style="2" customWidth="1"/>
    <col min="2" max="2" width="17.59765625" style="2" customWidth="1"/>
    <col min="3" max="3" width="15.796875" style="2" customWidth="1"/>
    <col min="4" max="4" width="43.0976562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50" t="s">
        <v>21</v>
      </c>
      <c r="D3" s="50" t="s">
        <v>22</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7.6" customHeight="1" x14ac:dyDescent="0.25">
      <c r="B8" s="11" t="s">
        <v>99</v>
      </c>
      <c r="C8" s="11" t="s">
        <v>100</v>
      </c>
      <c r="D8" s="50" t="s">
        <v>101</v>
      </c>
      <c r="E8" s="50"/>
      <c r="F8" s="50"/>
      <c r="G8" s="11"/>
      <c r="H8" s="11"/>
      <c r="I8" s="11"/>
      <c r="J8" s="11"/>
    </row>
    <row r="9" spans="1:10" ht="204" x14ac:dyDescent="0.25">
      <c r="B9" s="11" t="s">
        <v>176</v>
      </c>
      <c r="C9" s="11" t="s">
        <v>177</v>
      </c>
      <c r="D9" s="50" t="s">
        <v>181</v>
      </c>
      <c r="E9" s="50"/>
      <c r="F9" s="50"/>
      <c r="G9" s="11"/>
      <c r="H9" s="11"/>
      <c r="I9" s="11"/>
      <c r="J9" s="11"/>
    </row>
    <row r="10" spans="1:10" ht="60" x14ac:dyDescent="0.25">
      <c r="B10" s="11" t="s">
        <v>179</v>
      </c>
      <c r="C10" s="11" t="s">
        <v>177</v>
      </c>
      <c r="D10" s="50" t="s">
        <v>180</v>
      </c>
      <c r="E10" s="50"/>
      <c r="F10" s="50"/>
      <c r="G10" s="11"/>
      <c r="H10" s="11"/>
      <c r="I10" s="11"/>
      <c r="J10" s="11"/>
    </row>
    <row r="11" spans="1:10" x14ac:dyDescent="0.25">
      <c r="B11" s="11"/>
      <c r="C11" s="11"/>
      <c r="D11" s="50"/>
      <c r="E11" s="50"/>
      <c r="F11" s="50"/>
      <c r="G11" s="11"/>
      <c r="H11" s="11"/>
      <c r="I11" s="11"/>
      <c r="J11" s="11"/>
    </row>
    <row r="12" spans="1:10" x14ac:dyDescent="0.25">
      <c r="B12" s="11"/>
      <c r="C12" s="11"/>
      <c r="D12" s="50"/>
      <c r="E12" s="50"/>
      <c r="F12" s="50"/>
      <c r="G12" s="11"/>
      <c r="H12" s="11"/>
      <c r="I12" s="11"/>
      <c r="J12" s="11"/>
    </row>
    <row r="13" spans="1:10" x14ac:dyDescent="0.25">
      <c r="B13" s="11"/>
      <c r="C13" s="11"/>
      <c r="D13" s="50"/>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20" spans="2:10" ht="14.4" x14ac:dyDescent="0.25">
      <c r="B20" s="79" t="s">
        <v>118</v>
      </c>
      <c r="C20" s="80"/>
      <c r="D20" s="81"/>
    </row>
    <row r="21" spans="2:10" x14ac:dyDescent="0.25">
      <c r="B21" s="10" t="s">
        <v>119</v>
      </c>
      <c r="C21" s="10" t="s">
        <v>120</v>
      </c>
      <c r="D21" s="10" t="s">
        <v>121</v>
      </c>
    </row>
    <row r="22" spans="2:10" x14ac:dyDescent="0.25">
      <c r="B22" s="11" t="s">
        <v>122</v>
      </c>
      <c r="C22" s="11"/>
      <c r="D22" s="11"/>
    </row>
  </sheetData>
  <mergeCells count="3">
    <mergeCell ref="B1:E1"/>
    <mergeCell ref="B6:J6"/>
    <mergeCell ref="B20:D20"/>
  </mergeCells>
  <phoneticPr fontId="29" type="noConversion"/>
  <dataValidations count="2">
    <dataValidation type="list" allowBlank="1" showInputMessage="1" showErrorMessage="1" sqref="E3" xr:uid="{00000000-0002-0000-0900-000000000000}">
      <formula1>"通过,部分通过,不通过"</formula1>
    </dataValidation>
    <dataValidation type="list" allowBlank="1" showInputMessage="1" showErrorMessage="1" sqref="H8:H18" xr:uid="{00000000-0002-0000-0900-000001000000}">
      <formula1>"正确,错误"</formula1>
    </dataValidation>
  </dataValidations>
  <hyperlinks>
    <hyperlink ref="A1" location="UAT测试案例清单!A1" display="返回"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52274-0E7D-4BC1-A8B5-95A664970078}">
  <dimension ref="A1:J22"/>
  <sheetViews>
    <sheetView topLeftCell="A9" workbookViewId="0">
      <selection activeCell="E9" sqref="E9"/>
    </sheetView>
  </sheetViews>
  <sheetFormatPr defaultColWidth="9" defaultRowHeight="12" x14ac:dyDescent="0.25"/>
  <cols>
    <col min="1" max="1" width="6.59765625" style="66" customWidth="1"/>
    <col min="2" max="2" width="17.59765625" style="66" customWidth="1"/>
    <col min="3" max="3" width="15.796875" style="66" customWidth="1"/>
    <col min="4" max="4" width="43.09765625" style="66" customWidth="1"/>
    <col min="5" max="5" width="31" style="66" customWidth="1"/>
    <col min="6" max="6" width="18.8984375" style="66" customWidth="1"/>
    <col min="7" max="7" width="16.5" style="66" customWidth="1"/>
    <col min="8" max="9" width="24.59765625" style="66" customWidth="1"/>
    <col min="10" max="10" width="17.8984375" style="66" customWidth="1"/>
    <col min="11" max="16384" width="9" style="66"/>
  </cols>
  <sheetData>
    <row r="1" spans="1:10" ht="15" thickBot="1" x14ac:dyDescent="0.3">
      <c r="A1" s="65" t="s">
        <v>463</v>
      </c>
      <c r="B1" s="85" t="s">
        <v>464</v>
      </c>
      <c r="C1" s="86"/>
      <c r="D1" s="86"/>
      <c r="E1" s="87"/>
      <c r="I1" s="67"/>
    </row>
    <row r="2" spans="1:10" x14ac:dyDescent="0.25">
      <c r="B2" s="70" t="s">
        <v>465</v>
      </c>
      <c r="C2" s="70" t="s">
        <v>466</v>
      </c>
      <c r="D2" s="70" t="s">
        <v>467</v>
      </c>
      <c r="E2" s="70" t="s">
        <v>468</v>
      </c>
      <c r="F2" s="70" t="s">
        <v>469</v>
      </c>
      <c r="I2" s="67"/>
    </row>
    <row r="3" spans="1:10" x14ac:dyDescent="0.25">
      <c r="B3" s="64" t="s">
        <v>470</v>
      </c>
      <c r="C3" s="64" t="s">
        <v>442</v>
      </c>
      <c r="D3" s="64" t="s">
        <v>471</v>
      </c>
      <c r="E3" s="64"/>
      <c r="F3" s="64"/>
      <c r="I3" s="67"/>
    </row>
    <row r="4" spans="1:10" x14ac:dyDescent="0.25">
      <c r="I4" s="67"/>
    </row>
    <row r="5" spans="1:10" ht="12.6" thickBot="1" x14ac:dyDescent="0.3">
      <c r="I5" s="67"/>
    </row>
    <row r="6" spans="1:10" ht="15" thickBot="1" x14ac:dyDescent="0.3">
      <c r="B6" s="85" t="s">
        <v>472</v>
      </c>
      <c r="C6" s="86"/>
      <c r="D6" s="86"/>
      <c r="E6" s="86"/>
      <c r="F6" s="86"/>
      <c r="G6" s="86"/>
      <c r="H6" s="86"/>
      <c r="I6" s="86"/>
      <c r="J6" s="87"/>
    </row>
    <row r="7" spans="1:10" x14ac:dyDescent="0.25">
      <c r="B7" s="70" t="s">
        <v>473</v>
      </c>
      <c r="C7" s="70" t="s">
        <v>474</v>
      </c>
      <c r="D7" s="70" t="s">
        <v>475</v>
      </c>
      <c r="E7" s="70" t="s">
        <v>476</v>
      </c>
      <c r="F7" s="70" t="s">
        <v>477</v>
      </c>
      <c r="G7" s="70" t="s">
        <v>478</v>
      </c>
      <c r="H7" s="70" t="s">
        <v>479</v>
      </c>
      <c r="I7" s="70" t="s">
        <v>480</v>
      </c>
      <c r="J7" s="70" t="s">
        <v>481</v>
      </c>
    </row>
    <row r="8" spans="1:10" ht="24" x14ac:dyDescent="0.25">
      <c r="B8" s="68" t="s">
        <v>482</v>
      </c>
      <c r="C8" s="68" t="s">
        <v>483</v>
      </c>
      <c r="D8" s="64" t="s">
        <v>484</v>
      </c>
      <c r="E8" s="64"/>
      <c r="F8" s="64"/>
      <c r="G8" s="68"/>
      <c r="H8" s="68"/>
      <c r="I8" s="69"/>
      <c r="J8" s="68"/>
    </row>
    <row r="9" spans="1:10" ht="192" x14ac:dyDescent="0.25">
      <c r="B9" s="68" t="s">
        <v>485</v>
      </c>
      <c r="C9" s="68" t="s">
        <v>486</v>
      </c>
      <c r="D9" s="64" t="s">
        <v>493</v>
      </c>
      <c r="E9" s="64"/>
      <c r="F9" s="64"/>
      <c r="G9" s="68"/>
      <c r="H9" s="68"/>
      <c r="I9" s="69"/>
      <c r="J9" s="68"/>
    </row>
    <row r="10" spans="1:10" ht="72" x14ac:dyDescent="0.25">
      <c r="B10" s="68" t="s">
        <v>487</v>
      </c>
      <c r="C10" s="68" t="s">
        <v>486</v>
      </c>
      <c r="D10" s="64" t="s">
        <v>494</v>
      </c>
      <c r="E10" s="64"/>
      <c r="F10" s="64"/>
      <c r="G10" s="68"/>
      <c r="H10" s="68"/>
      <c r="I10" s="69"/>
      <c r="J10" s="68"/>
    </row>
    <row r="11" spans="1:10" x14ac:dyDescent="0.25">
      <c r="B11" s="68"/>
      <c r="C11" s="68"/>
      <c r="D11" s="64"/>
      <c r="E11" s="64"/>
      <c r="F11" s="64"/>
      <c r="G11" s="68"/>
      <c r="H11" s="68"/>
      <c r="I11" s="69"/>
      <c r="J11" s="68"/>
    </row>
    <row r="12" spans="1:10" x14ac:dyDescent="0.25">
      <c r="B12" s="68"/>
      <c r="C12" s="68"/>
      <c r="D12" s="64"/>
      <c r="E12" s="64"/>
      <c r="F12" s="64"/>
      <c r="G12" s="68"/>
      <c r="H12" s="68"/>
      <c r="I12" s="69"/>
      <c r="J12" s="68"/>
    </row>
    <row r="13" spans="1:10" x14ac:dyDescent="0.25">
      <c r="B13" s="68"/>
      <c r="C13" s="68"/>
      <c r="D13" s="64"/>
      <c r="E13" s="64"/>
      <c r="F13" s="64"/>
      <c r="G13" s="68"/>
      <c r="H13" s="68"/>
      <c r="I13" s="69"/>
      <c r="J13" s="68"/>
    </row>
    <row r="14" spans="1:10" x14ac:dyDescent="0.25">
      <c r="B14" s="68"/>
      <c r="C14" s="68"/>
      <c r="D14" s="64"/>
      <c r="E14" s="64"/>
      <c r="F14" s="64"/>
      <c r="G14" s="68"/>
      <c r="H14" s="68"/>
      <c r="I14" s="69"/>
      <c r="J14" s="68"/>
    </row>
    <row r="15" spans="1:10" x14ac:dyDescent="0.25">
      <c r="B15" s="68"/>
      <c r="C15" s="68"/>
      <c r="D15" s="64"/>
      <c r="E15" s="64"/>
      <c r="F15" s="64"/>
      <c r="G15" s="68"/>
      <c r="H15" s="68"/>
      <c r="I15" s="69"/>
      <c r="J15" s="68"/>
    </row>
    <row r="16" spans="1:10" x14ac:dyDescent="0.25">
      <c r="B16" s="68"/>
      <c r="C16" s="68"/>
      <c r="D16" s="64"/>
      <c r="E16" s="64"/>
      <c r="F16" s="64"/>
      <c r="G16" s="68"/>
      <c r="H16" s="68"/>
      <c r="I16" s="69"/>
      <c r="J16" s="68"/>
    </row>
    <row r="17" spans="2:10" x14ac:dyDescent="0.25">
      <c r="B17" s="68"/>
      <c r="C17" s="68"/>
      <c r="D17" s="64"/>
      <c r="E17" s="64"/>
      <c r="F17" s="64"/>
      <c r="G17" s="68"/>
      <c r="H17" s="68"/>
      <c r="I17" s="69"/>
      <c r="J17" s="68"/>
    </row>
    <row r="18" spans="2:10" x14ac:dyDescent="0.25">
      <c r="B18" s="68"/>
      <c r="C18" s="68"/>
      <c r="D18" s="64"/>
      <c r="E18" s="64"/>
      <c r="F18" s="64"/>
      <c r="G18" s="68"/>
      <c r="H18" s="68"/>
      <c r="I18" s="69"/>
      <c r="J18" s="68"/>
    </row>
    <row r="19" spans="2:10" ht="12.6" thickBot="1" x14ac:dyDescent="0.3">
      <c r="I19" s="67"/>
    </row>
    <row r="20" spans="2:10" ht="15" thickBot="1" x14ac:dyDescent="0.3">
      <c r="B20" s="85" t="s">
        <v>488</v>
      </c>
      <c r="C20" s="86"/>
      <c r="D20" s="87"/>
      <c r="I20" s="67"/>
    </row>
    <row r="21" spans="2:10" x14ac:dyDescent="0.25">
      <c r="B21" s="70" t="s">
        <v>489</v>
      </c>
      <c r="C21" s="70" t="s">
        <v>490</v>
      </c>
      <c r="D21" s="70" t="s">
        <v>491</v>
      </c>
      <c r="I21" s="67"/>
    </row>
    <row r="22" spans="2:10" x14ac:dyDescent="0.25">
      <c r="B22" s="68" t="s">
        <v>492</v>
      </c>
      <c r="C22" s="68"/>
      <c r="D22" s="68"/>
      <c r="I22" s="67"/>
    </row>
  </sheetData>
  <mergeCells count="3">
    <mergeCell ref="B1:E1"/>
    <mergeCell ref="B6:J6"/>
    <mergeCell ref="B20:D20"/>
  </mergeCells>
  <phoneticPr fontId="29" type="noConversion"/>
  <dataValidations disablePrompts="1" count="2">
    <dataValidation type="list" allowBlank="1" showInputMessage="1" showErrorMessage="1" sqref="E3" xr:uid="{EF6C5C1C-3E0C-494A-81B4-C19D53B2120A}">
      <formula1>"通过,部分通过,不通过"</formula1>
    </dataValidation>
    <dataValidation type="list" allowBlank="1" showInputMessage="1" showErrorMessage="1" sqref="H8:H18" xr:uid="{0878760A-0C27-45F4-821A-CBCF67B19EDF}">
      <formula1>"正确,错误"</formula1>
    </dataValidation>
  </dataValidations>
  <hyperlinks>
    <hyperlink ref="A1" location="UAT测试案例清单!A1" display="返回" xr:uid="{F3FD44CD-410F-489C-81F1-FB631AD8C838}"/>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J22"/>
  <sheetViews>
    <sheetView workbookViewId="0">
      <selection activeCell="C4" sqref="C4"/>
    </sheetView>
  </sheetViews>
  <sheetFormatPr defaultColWidth="9" defaultRowHeight="12" x14ac:dyDescent="0.25"/>
  <cols>
    <col min="1" max="1" width="6.59765625" style="2" customWidth="1"/>
    <col min="2" max="2" width="17.59765625" style="2" customWidth="1"/>
    <col min="3" max="3" width="15.796875" style="2" customWidth="1"/>
    <col min="4" max="4" width="47.796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64" t="s">
        <v>453</v>
      </c>
      <c r="D3" s="50" t="s">
        <v>24</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182</v>
      </c>
      <c r="C8" s="11" t="s">
        <v>183</v>
      </c>
      <c r="D8" s="50" t="s">
        <v>184</v>
      </c>
      <c r="E8" s="50"/>
      <c r="F8" s="50"/>
      <c r="G8" s="11"/>
      <c r="H8" s="11"/>
      <c r="I8" s="11"/>
      <c r="J8" s="11"/>
    </row>
    <row r="9" spans="1:10" ht="36" x14ac:dyDescent="0.25">
      <c r="B9" s="11" t="s">
        <v>185</v>
      </c>
      <c r="C9" s="11" t="s">
        <v>186</v>
      </c>
      <c r="D9" s="50" t="s">
        <v>187</v>
      </c>
      <c r="E9" s="50"/>
      <c r="F9" s="50"/>
      <c r="G9" s="11"/>
      <c r="H9" s="11"/>
      <c r="I9" s="11"/>
      <c r="J9" s="11"/>
    </row>
    <row r="10" spans="1:10" ht="36" x14ac:dyDescent="0.25">
      <c r="B10" s="11" t="s">
        <v>188</v>
      </c>
      <c r="C10" s="11" t="s">
        <v>186</v>
      </c>
      <c r="D10" s="50" t="s">
        <v>189</v>
      </c>
      <c r="E10" s="50"/>
      <c r="F10" s="50"/>
      <c r="G10" s="11"/>
      <c r="H10" s="11"/>
      <c r="I10" s="11"/>
      <c r="J10" s="11"/>
    </row>
    <row r="11" spans="1:10" ht="192" x14ac:dyDescent="0.25">
      <c r="B11" s="11" t="s">
        <v>190</v>
      </c>
      <c r="C11" s="11" t="s">
        <v>186</v>
      </c>
      <c r="D11" s="50" t="s">
        <v>191</v>
      </c>
      <c r="E11" s="50"/>
      <c r="F11" s="50"/>
      <c r="G11" s="11"/>
      <c r="H11" s="11"/>
      <c r="I11" s="11"/>
      <c r="J11" s="11"/>
    </row>
    <row r="12" spans="1:10" ht="96" x14ac:dyDescent="0.25">
      <c r="B12" s="11" t="s">
        <v>192</v>
      </c>
      <c r="C12" s="11" t="s">
        <v>186</v>
      </c>
      <c r="D12" s="50" t="s">
        <v>193</v>
      </c>
      <c r="E12" s="50"/>
      <c r="F12" s="50"/>
      <c r="G12" s="11"/>
      <c r="H12" s="11"/>
      <c r="I12" s="11"/>
      <c r="J12" s="11"/>
    </row>
    <row r="13" spans="1:10" ht="168" x14ac:dyDescent="0.25">
      <c r="B13" s="11" t="s">
        <v>24</v>
      </c>
      <c r="C13" s="11" t="s">
        <v>186</v>
      </c>
      <c r="D13" s="50" t="s">
        <v>194</v>
      </c>
      <c r="E13" s="50"/>
      <c r="F13" s="50"/>
      <c r="G13" s="11"/>
      <c r="H13" s="11"/>
      <c r="I13" s="11"/>
      <c r="J13" s="11"/>
    </row>
    <row r="14" spans="1:10" ht="84" x14ac:dyDescent="0.25">
      <c r="B14" s="11" t="s">
        <v>195</v>
      </c>
      <c r="C14" s="11" t="s">
        <v>186</v>
      </c>
      <c r="D14" s="50" t="s">
        <v>196</v>
      </c>
      <c r="E14" s="50"/>
      <c r="F14" s="50"/>
      <c r="G14" s="11"/>
      <c r="H14" s="11"/>
      <c r="I14" s="11"/>
      <c r="J14" s="11"/>
    </row>
    <row r="15" spans="1:10" ht="144" x14ac:dyDescent="0.25">
      <c r="B15" s="11" t="s">
        <v>197</v>
      </c>
      <c r="C15" s="11" t="s">
        <v>186</v>
      </c>
      <c r="D15" s="50" t="s">
        <v>198</v>
      </c>
      <c r="E15" s="50"/>
      <c r="F15" s="50"/>
      <c r="G15" s="11"/>
      <c r="H15" s="11"/>
      <c r="I15" s="11"/>
      <c r="J15" s="11"/>
    </row>
    <row r="16" spans="1:10" ht="60" x14ac:dyDescent="0.25">
      <c r="B16" s="11" t="s">
        <v>199</v>
      </c>
      <c r="C16" s="11" t="s">
        <v>186</v>
      </c>
      <c r="D16" s="50" t="s">
        <v>200</v>
      </c>
      <c r="E16" s="50"/>
      <c r="F16" s="50"/>
      <c r="G16" s="11"/>
      <c r="H16" s="11"/>
      <c r="I16" s="11"/>
      <c r="J16" s="11"/>
    </row>
    <row r="17" spans="2:10" ht="48" x14ac:dyDescent="0.25">
      <c r="B17" s="11" t="s">
        <v>201</v>
      </c>
      <c r="C17" s="11" t="s">
        <v>186</v>
      </c>
      <c r="D17" s="50" t="s">
        <v>202</v>
      </c>
      <c r="E17" s="50"/>
      <c r="F17" s="50"/>
      <c r="G17" s="11"/>
      <c r="H17" s="11"/>
      <c r="I17" s="11"/>
      <c r="J17" s="11"/>
    </row>
    <row r="18" spans="2:10" x14ac:dyDescent="0.25">
      <c r="B18" s="11"/>
      <c r="C18" s="11"/>
      <c r="D18" s="50"/>
      <c r="E18" s="50"/>
      <c r="F18" s="50"/>
      <c r="G18" s="11"/>
      <c r="H18" s="11"/>
      <c r="I18" s="11"/>
      <c r="J18" s="11"/>
    </row>
    <row r="19" spans="2:10" x14ac:dyDescent="0.25">
      <c r="I19" s="11"/>
    </row>
    <row r="20" spans="2:10" ht="14.4" x14ac:dyDescent="0.25">
      <c r="B20" s="79" t="s">
        <v>118</v>
      </c>
      <c r="C20" s="80"/>
      <c r="D20" s="81"/>
    </row>
    <row r="21" spans="2:10" x14ac:dyDescent="0.25">
      <c r="B21" s="10" t="s">
        <v>119</v>
      </c>
      <c r="C21" s="10" t="s">
        <v>120</v>
      </c>
      <c r="D21" s="10" t="s">
        <v>121</v>
      </c>
    </row>
    <row r="22" spans="2:10" x14ac:dyDescent="0.25">
      <c r="B22" s="11" t="s">
        <v>122</v>
      </c>
      <c r="C22" s="11"/>
      <c r="D22" s="11"/>
    </row>
  </sheetData>
  <mergeCells count="3">
    <mergeCell ref="B1:E1"/>
    <mergeCell ref="B6:J6"/>
    <mergeCell ref="B20:D20"/>
  </mergeCells>
  <phoneticPr fontId="29" type="noConversion"/>
  <dataValidations count="2">
    <dataValidation type="list" allowBlank="1" showInputMessage="1" showErrorMessage="1" sqref="E3" xr:uid="{00000000-0002-0000-0A00-000000000000}">
      <formula1>"通过,部分通过,不通过"</formula1>
    </dataValidation>
    <dataValidation type="list" allowBlank="1" showInputMessage="1" showErrorMessage="1" sqref="H8:H18" xr:uid="{00000000-0002-0000-0A00-000001000000}">
      <formula1>"正确,错误"</formula1>
    </dataValidation>
  </dataValidations>
  <hyperlinks>
    <hyperlink ref="A1" location="UAT测试案例清单!A1" display="返回" xr:uid="{00000000-0004-0000-0A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J22"/>
  <sheetViews>
    <sheetView workbookViewId="0">
      <selection activeCell="C4" sqref="C4"/>
    </sheetView>
  </sheetViews>
  <sheetFormatPr defaultColWidth="9" defaultRowHeight="12" x14ac:dyDescent="0.25"/>
  <cols>
    <col min="1" max="1" width="6.59765625" style="2" customWidth="1"/>
    <col min="2" max="2" width="17.59765625" style="2" customWidth="1"/>
    <col min="3" max="3" width="15.796875" style="2" customWidth="1"/>
    <col min="4" max="4" width="4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64" t="s">
        <v>454</v>
      </c>
      <c r="D3" s="50" t="s">
        <v>25</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203</v>
      </c>
      <c r="C8" s="11" t="s">
        <v>183</v>
      </c>
      <c r="D8" s="50" t="s">
        <v>184</v>
      </c>
      <c r="E8" s="50"/>
      <c r="F8" s="50"/>
      <c r="G8" s="11"/>
      <c r="H8" s="11"/>
      <c r="I8" s="11"/>
      <c r="J8" s="11"/>
    </row>
    <row r="9" spans="1:10" ht="36" x14ac:dyDescent="0.25">
      <c r="B9" s="11" t="s">
        <v>204</v>
      </c>
      <c r="C9" s="11" t="s">
        <v>205</v>
      </c>
      <c r="D9" s="50" t="s">
        <v>206</v>
      </c>
      <c r="E9" s="50"/>
      <c r="F9" s="50"/>
      <c r="G9" s="11"/>
      <c r="H9" s="11"/>
      <c r="I9" s="11"/>
      <c r="J9" s="11"/>
    </row>
    <row r="10" spans="1:10" ht="60" x14ac:dyDescent="0.25">
      <c r="B10" s="11" t="s">
        <v>207</v>
      </c>
      <c r="C10" s="11" t="s">
        <v>205</v>
      </c>
      <c r="D10" s="50" t="s">
        <v>208</v>
      </c>
      <c r="E10" s="50"/>
      <c r="F10" s="50"/>
      <c r="G10" s="11"/>
      <c r="H10" s="11"/>
      <c r="I10" s="11"/>
      <c r="J10" s="11"/>
    </row>
    <row r="11" spans="1:10" ht="48" x14ac:dyDescent="0.25">
      <c r="B11" s="11" t="s">
        <v>190</v>
      </c>
      <c r="C11" s="11" t="s">
        <v>205</v>
      </c>
      <c r="D11" s="50" t="s">
        <v>209</v>
      </c>
      <c r="E11" s="50"/>
      <c r="F11" s="50"/>
      <c r="G11" s="11"/>
      <c r="H11" s="11"/>
      <c r="I11" s="11"/>
      <c r="J11" s="11"/>
    </row>
    <row r="12" spans="1:10" ht="84" x14ac:dyDescent="0.25">
      <c r="B12" s="11" t="s">
        <v>192</v>
      </c>
      <c r="C12" s="11" t="s">
        <v>205</v>
      </c>
      <c r="D12" s="50" t="s">
        <v>210</v>
      </c>
      <c r="E12" s="50"/>
      <c r="F12" s="50"/>
      <c r="G12" s="11"/>
      <c r="H12" s="11"/>
      <c r="I12" s="11"/>
      <c r="J12" s="11"/>
    </row>
    <row r="13" spans="1:10" ht="144" x14ac:dyDescent="0.25">
      <c r="B13" s="11" t="s">
        <v>25</v>
      </c>
      <c r="C13" s="11" t="s">
        <v>205</v>
      </c>
      <c r="D13" s="50" t="s">
        <v>211</v>
      </c>
      <c r="E13" s="50"/>
      <c r="F13" s="50"/>
      <c r="G13" s="11"/>
      <c r="H13" s="11"/>
      <c r="I13" s="11"/>
      <c r="J13" s="11"/>
    </row>
    <row r="14" spans="1:10" ht="84" x14ac:dyDescent="0.25">
      <c r="B14" s="11" t="s">
        <v>212</v>
      </c>
      <c r="C14" s="11" t="s">
        <v>205</v>
      </c>
      <c r="D14" s="50" t="s">
        <v>213</v>
      </c>
      <c r="E14" s="50"/>
      <c r="F14" s="50"/>
      <c r="G14" s="11"/>
      <c r="H14" s="11"/>
      <c r="I14" s="11"/>
      <c r="J14" s="11"/>
    </row>
    <row r="15" spans="1:10" ht="144" x14ac:dyDescent="0.25">
      <c r="B15" s="11" t="s">
        <v>214</v>
      </c>
      <c r="C15" s="11" t="s">
        <v>205</v>
      </c>
      <c r="D15" s="50" t="s">
        <v>215</v>
      </c>
      <c r="E15" s="50"/>
      <c r="F15" s="50"/>
      <c r="G15" s="11"/>
      <c r="H15" s="11"/>
      <c r="I15" s="11"/>
      <c r="J15" s="11"/>
    </row>
    <row r="16" spans="1:10" ht="60" x14ac:dyDescent="0.25">
      <c r="B16" s="11" t="s">
        <v>216</v>
      </c>
      <c r="C16" s="11" t="s">
        <v>205</v>
      </c>
      <c r="D16" s="50" t="s">
        <v>217</v>
      </c>
      <c r="E16" s="50"/>
      <c r="F16" s="50"/>
      <c r="G16" s="11"/>
      <c r="H16" s="11"/>
      <c r="I16" s="11"/>
      <c r="J16" s="11"/>
    </row>
    <row r="17" spans="2:10" ht="60" x14ac:dyDescent="0.25">
      <c r="B17" s="11" t="s">
        <v>201</v>
      </c>
      <c r="C17" s="11" t="s">
        <v>186</v>
      </c>
      <c r="D17" s="50" t="s">
        <v>218</v>
      </c>
      <c r="E17" s="50"/>
      <c r="F17" s="50"/>
      <c r="G17" s="11"/>
      <c r="H17" s="11"/>
      <c r="I17" s="11"/>
      <c r="J17" s="11"/>
    </row>
    <row r="18" spans="2:10" x14ac:dyDescent="0.25">
      <c r="B18" s="11"/>
      <c r="C18" s="11"/>
      <c r="D18" s="50"/>
      <c r="E18" s="50"/>
      <c r="F18" s="50"/>
      <c r="G18" s="11"/>
      <c r="H18" s="11"/>
      <c r="I18" s="11"/>
      <c r="J18" s="11"/>
    </row>
    <row r="19" spans="2:10" x14ac:dyDescent="0.25">
      <c r="I19" s="11"/>
    </row>
    <row r="20" spans="2:10" ht="14.4" x14ac:dyDescent="0.25">
      <c r="B20" s="79" t="s">
        <v>118</v>
      </c>
      <c r="C20" s="80"/>
      <c r="D20" s="81"/>
    </row>
    <row r="21" spans="2:10" x14ac:dyDescent="0.25">
      <c r="B21" s="10" t="s">
        <v>119</v>
      </c>
      <c r="C21" s="10" t="s">
        <v>120</v>
      </c>
      <c r="D21" s="10" t="s">
        <v>121</v>
      </c>
    </row>
    <row r="22" spans="2:10" x14ac:dyDescent="0.25">
      <c r="B22" s="11" t="s">
        <v>122</v>
      </c>
      <c r="C22" s="11"/>
      <c r="D22" s="11"/>
    </row>
  </sheetData>
  <mergeCells count="3">
    <mergeCell ref="B1:E1"/>
    <mergeCell ref="B6:J6"/>
    <mergeCell ref="B20:D20"/>
  </mergeCells>
  <phoneticPr fontId="29" type="noConversion"/>
  <dataValidations count="2">
    <dataValidation type="list" allowBlank="1" showInputMessage="1" showErrorMessage="1" sqref="E3" xr:uid="{00000000-0002-0000-0B00-000000000000}">
      <formula1>"通过,部分通过,不通过"</formula1>
    </dataValidation>
    <dataValidation type="list" allowBlank="1" showInputMessage="1" showErrorMessage="1" sqref="H8:H18" xr:uid="{00000000-0002-0000-0B00-000001000000}">
      <formula1>"正确,错误"</formula1>
    </dataValidation>
  </dataValidations>
  <hyperlinks>
    <hyperlink ref="A1" location="UAT测试案例清单!A1" display="返回" xr:uid="{00000000-0004-0000-0B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J22"/>
  <sheetViews>
    <sheetView workbookViewId="0">
      <selection activeCell="C4" sqref="C4"/>
    </sheetView>
  </sheetViews>
  <sheetFormatPr defaultColWidth="9" defaultRowHeight="12" x14ac:dyDescent="0.25"/>
  <cols>
    <col min="1" max="1" width="6.59765625" style="2" customWidth="1"/>
    <col min="2" max="2" width="17.5976562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64" t="s">
        <v>462</v>
      </c>
      <c r="D3" s="50" t="s">
        <v>26</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182</v>
      </c>
      <c r="C8" s="11" t="s">
        <v>183</v>
      </c>
      <c r="D8" s="50" t="s">
        <v>184</v>
      </c>
      <c r="E8" s="50"/>
      <c r="F8" s="50"/>
      <c r="G8" s="11"/>
      <c r="H8" s="11"/>
      <c r="I8" s="11"/>
      <c r="J8" s="11"/>
    </row>
    <row r="9" spans="1:10" ht="36" x14ac:dyDescent="0.25">
      <c r="B9" s="11" t="s">
        <v>219</v>
      </c>
      <c r="C9" s="11" t="s">
        <v>220</v>
      </c>
      <c r="D9" s="50" t="s">
        <v>221</v>
      </c>
      <c r="E9" s="50"/>
      <c r="F9" s="50"/>
      <c r="G9" s="11"/>
      <c r="H9" s="11"/>
      <c r="I9" s="11"/>
      <c r="J9" s="11"/>
    </row>
    <row r="10" spans="1:10" ht="72" x14ac:dyDescent="0.25">
      <c r="B10" s="11" t="s">
        <v>222</v>
      </c>
      <c r="C10" s="11" t="s">
        <v>220</v>
      </c>
      <c r="D10" s="50" t="s">
        <v>223</v>
      </c>
      <c r="E10" s="50"/>
      <c r="F10" s="50"/>
      <c r="G10" s="11"/>
      <c r="H10" s="11"/>
      <c r="I10" s="11"/>
      <c r="J10" s="11"/>
    </row>
    <row r="11" spans="1:10" ht="84" x14ac:dyDescent="0.25">
      <c r="B11" s="11" t="s">
        <v>224</v>
      </c>
      <c r="C11" s="11" t="s">
        <v>220</v>
      </c>
      <c r="D11" s="50" t="s">
        <v>225</v>
      </c>
      <c r="E11" s="50"/>
      <c r="F11" s="50"/>
      <c r="G11" s="11"/>
      <c r="H11" s="11"/>
      <c r="I11" s="11"/>
      <c r="J11" s="11"/>
    </row>
    <row r="12" spans="1:10" x14ac:dyDescent="0.25">
      <c r="B12" s="11"/>
      <c r="C12" s="11"/>
      <c r="D12" s="50"/>
      <c r="E12" s="50"/>
      <c r="F12" s="50"/>
      <c r="G12" s="11"/>
      <c r="H12" s="11"/>
      <c r="I12" s="11"/>
      <c r="J12" s="11"/>
    </row>
    <row r="13" spans="1:10" x14ac:dyDescent="0.25">
      <c r="B13" s="11"/>
      <c r="C13" s="11"/>
      <c r="D13" s="50"/>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19" spans="2:10" x14ac:dyDescent="0.25">
      <c r="I19" s="11"/>
    </row>
    <row r="20" spans="2:10" ht="14.4" x14ac:dyDescent="0.25">
      <c r="B20" s="79" t="s">
        <v>118</v>
      </c>
      <c r="C20" s="80"/>
      <c r="D20" s="81"/>
    </row>
    <row r="21" spans="2:10" x14ac:dyDescent="0.25">
      <c r="B21" s="10" t="s">
        <v>119</v>
      </c>
      <c r="C21" s="10" t="s">
        <v>120</v>
      </c>
      <c r="D21" s="10" t="s">
        <v>121</v>
      </c>
    </row>
    <row r="22" spans="2:10" x14ac:dyDescent="0.25">
      <c r="B22" s="11" t="s">
        <v>122</v>
      </c>
      <c r="C22" s="11"/>
      <c r="D22" s="11"/>
    </row>
  </sheetData>
  <mergeCells count="3">
    <mergeCell ref="B1:E1"/>
    <mergeCell ref="B6:J6"/>
    <mergeCell ref="B20:D20"/>
  </mergeCells>
  <phoneticPr fontId="29" type="noConversion"/>
  <dataValidations count="2">
    <dataValidation type="list" allowBlank="1" showInputMessage="1" showErrorMessage="1" sqref="E3" xr:uid="{00000000-0002-0000-0C00-000000000000}">
      <formula1>"通过,部分通过,不通过"</formula1>
    </dataValidation>
    <dataValidation type="list" allowBlank="1" showInputMessage="1" showErrorMessage="1" sqref="H8:H18" xr:uid="{00000000-0002-0000-0C00-000001000000}">
      <formula1>"正确,错误"</formula1>
    </dataValidation>
  </dataValidations>
  <hyperlinks>
    <hyperlink ref="A1" location="UAT测试案例清单!A1" display="返回" xr:uid="{00000000-0004-0000-0C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J23"/>
  <sheetViews>
    <sheetView workbookViewId="0">
      <selection activeCell="C4" sqref="C4"/>
    </sheetView>
  </sheetViews>
  <sheetFormatPr defaultColWidth="9" defaultRowHeight="12" x14ac:dyDescent="0.25"/>
  <cols>
    <col min="1" max="1" width="6.59765625" style="2" customWidth="1"/>
    <col min="2" max="2" width="17.5976562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64" t="s">
        <v>461</v>
      </c>
      <c r="D3" s="50" t="s">
        <v>27</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226</v>
      </c>
      <c r="C8" s="11" t="s">
        <v>227</v>
      </c>
      <c r="D8" s="50" t="s">
        <v>228</v>
      </c>
      <c r="E8" s="50"/>
      <c r="F8" s="50"/>
      <c r="G8" s="11"/>
      <c r="H8" s="11"/>
      <c r="I8" s="11"/>
      <c r="J8" s="11"/>
    </row>
    <row r="9" spans="1:10" ht="36" x14ac:dyDescent="0.25">
      <c r="B9" s="11" t="s">
        <v>229</v>
      </c>
      <c r="C9" s="11" t="s">
        <v>230</v>
      </c>
      <c r="D9" s="50" t="s">
        <v>231</v>
      </c>
      <c r="E9" s="50"/>
      <c r="F9" s="50"/>
      <c r="G9" s="11"/>
      <c r="H9" s="11"/>
      <c r="I9" s="11"/>
      <c r="J9" s="11"/>
    </row>
    <row r="10" spans="1:10" ht="72" x14ac:dyDescent="0.25">
      <c r="B10" s="11" t="s">
        <v>232</v>
      </c>
      <c r="C10" s="11" t="s">
        <v>233</v>
      </c>
      <c r="D10" s="50" t="s">
        <v>234</v>
      </c>
      <c r="E10" s="50"/>
      <c r="F10" s="50"/>
      <c r="G10" s="11"/>
      <c r="H10" s="11"/>
      <c r="I10" s="11"/>
      <c r="J10" s="11"/>
    </row>
    <row r="11" spans="1:10" ht="36" x14ac:dyDescent="0.25">
      <c r="B11" s="11" t="s">
        <v>235</v>
      </c>
      <c r="C11" s="11" t="s">
        <v>230</v>
      </c>
      <c r="D11" s="50" t="s">
        <v>236</v>
      </c>
      <c r="E11" s="50"/>
      <c r="F11" s="50"/>
      <c r="G11" s="11"/>
      <c r="H11" s="11"/>
      <c r="I11" s="11"/>
      <c r="J11" s="11"/>
    </row>
    <row r="12" spans="1:10" ht="96" x14ac:dyDescent="0.25">
      <c r="B12" s="11" t="s">
        <v>237</v>
      </c>
      <c r="C12" s="11" t="s">
        <v>230</v>
      </c>
      <c r="D12" s="50" t="s">
        <v>238</v>
      </c>
      <c r="E12" s="50"/>
      <c r="F12" s="50"/>
      <c r="G12" s="11"/>
      <c r="H12" s="11"/>
      <c r="I12" s="11"/>
      <c r="J12" s="11"/>
    </row>
    <row r="13" spans="1:10" x14ac:dyDescent="0.25">
      <c r="B13" s="11"/>
      <c r="C13" s="11"/>
      <c r="D13" s="50"/>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19" spans="2:10" x14ac:dyDescent="0.25">
      <c r="B19" s="11"/>
      <c r="C19" s="11"/>
      <c r="D19" s="50"/>
      <c r="E19" s="50"/>
      <c r="F19" s="50"/>
      <c r="G19" s="11"/>
      <c r="H19" s="11"/>
      <c r="I19" s="11"/>
      <c r="J19" s="11"/>
    </row>
    <row r="21" spans="2:10" ht="14.4" x14ac:dyDescent="0.25">
      <c r="B21" s="79" t="s">
        <v>118</v>
      </c>
      <c r="C21" s="80"/>
      <c r="D21" s="81"/>
    </row>
    <row r="22" spans="2:10" x14ac:dyDescent="0.25">
      <c r="B22" s="10" t="s">
        <v>119</v>
      </c>
      <c r="C22" s="10" t="s">
        <v>120</v>
      </c>
      <c r="D22" s="10" t="s">
        <v>121</v>
      </c>
    </row>
    <row r="23" spans="2:10" x14ac:dyDescent="0.25">
      <c r="B23" s="11" t="s">
        <v>122</v>
      </c>
      <c r="C23" s="11"/>
      <c r="D23" s="11"/>
    </row>
  </sheetData>
  <mergeCells count="3">
    <mergeCell ref="B1:E1"/>
    <mergeCell ref="B6:J6"/>
    <mergeCell ref="B21:D21"/>
  </mergeCells>
  <phoneticPr fontId="29" type="noConversion"/>
  <dataValidations count="2">
    <dataValidation type="list" allowBlank="1" showInputMessage="1" showErrorMessage="1" sqref="E3" xr:uid="{00000000-0002-0000-0D00-000000000000}">
      <formula1>"通过,部分通过,不通过"</formula1>
    </dataValidation>
    <dataValidation type="list" allowBlank="1" showInputMessage="1" showErrorMessage="1" sqref="H8:H19" xr:uid="{00000000-0002-0000-0D00-000001000000}">
      <formula1>"正确,错误"</formula1>
    </dataValidation>
  </dataValidations>
  <hyperlinks>
    <hyperlink ref="A1" location="UAT测试案例清单!A1" display="返回" xr:uid="{00000000-0004-0000-0D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J23"/>
  <sheetViews>
    <sheetView workbookViewId="0">
      <selection activeCell="C4" sqref="C4"/>
    </sheetView>
  </sheetViews>
  <sheetFormatPr defaultColWidth="9" defaultRowHeight="12" x14ac:dyDescent="0.25"/>
  <cols>
    <col min="1" max="1" width="6.59765625" style="2" customWidth="1"/>
    <col min="2" max="2" width="17.5976562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64" t="s">
        <v>460</v>
      </c>
      <c r="D3" s="50" t="s">
        <v>28</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239</v>
      </c>
      <c r="C8" s="11" t="s">
        <v>240</v>
      </c>
      <c r="D8" s="50" t="s">
        <v>241</v>
      </c>
      <c r="E8" s="50"/>
      <c r="F8" s="50"/>
      <c r="G8" s="11"/>
      <c r="H8" s="11"/>
      <c r="I8" s="11"/>
      <c r="J8" s="11"/>
    </row>
    <row r="9" spans="1:10" ht="36" x14ac:dyDescent="0.25">
      <c r="B9" s="11" t="s">
        <v>242</v>
      </c>
      <c r="C9" s="11" t="s">
        <v>243</v>
      </c>
      <c r="D9" s="50" t="s">
        <v>244</v>
      </c>
      <c r="E9" s="50"/>
      <c r="F9" s="50"/>
      <c r="G9" s="11"/>
      <c r="H9" s="11"/>
      <c r="I9" s="11"/>
      <c r="J9" s="11"/>
    </row>
    <row r="10" spans="1:10" ht="36" x14ac:dyDescent="0.25">
      <c r="B10" s="11" t="s">
        <v>245</v>
      </c>
      <c r="C10" s="11" t="s">
        <v>243</v>
      </c>
      <c r="D10" s="50" t="s">
        <v>246</v>
      </c>
      <c r="E10" s="50"/>
      <c r="F10" s="50"/>
      <c r="G10" s="11"/>
      <c r="H10" s="11"/>
      <c r="I10" s="11"/>
      <c r="J10" s="11"/>
    </row>
    <row r="11" spans="1:10" ht="60" x14ac:dyDescent="0.25">
      <c r="B11" s="11" t="s">
        <v>247</v>
      </c>
      <c r="C11" s="11" t="s">
        <v>248</v>
      </c>
      <c r="D11" s="50" t="s">
        <v>249</v>
      </c>
      <c r="E11" s="50"/>
      <c r="F11" s="50"/>
      <c r="G11" s="11"/>
      <c r="H11" s="11"/>
      <c r="I11" s="11"/>
      <c r="J11" s="11"/>
    </row>
    <row r="12" spans="1:10" x14ac:dyDescent="0.25">
      <c r="B12" s="11"/>
      <c r="C12" s="11"/>
      <c r="D12" s="50"/>
      <c r="E12" s="50"/>
      <c r="F12" s="50"/>
      <c r="G12" s="11"/>
      <c r="H12" s="11"/>
      <c r="I12" s="11"/>
      <c r="J12" s="11"/>
    </row>
    <row r="13" spans="1:10" x14ac:dyDescent="0.25">
      <c r="B13" s="11"/>
      <c r="C13" s="11"/>
      <c r="D13" s="50"/>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19" spans="2:10" x14ac:dyDescent="0.25">
      <c r="B19" s="11"/>
      <c r="C19" s="11"/>
      <c r="D19" s="50"/>
      <c r="E19" s="50"/>
      <c r="F19" s="50"/>
      <c r="G19" s="11"/>
      <c r="H19" s="11"/>
      <c r="I19" s="11"/>
      <c r="J19" s="11"/>
    </row>
    <row r="21" spans="2:10" ht="14.4" x14ac:dyDescent="0.25">
      <c r="B21" s="79" t="s">
        <v>118</v>
      </c>
      <c r="C21" s="80"/>
      <c r="D21" s="81"/>
    </row>
    <row r="22" spans="2:10" x14ac:dyDescent="0.25">
      <c r="B22" s="10" t="s">
        <v>119</v>
      </c>
      <c r="C22" s="10" t="s">
        <v>120</v>
      </c>
      <c r="D22" s="10" t="s">
        <v>121</v>
      </c>
    </row>
    <row r="23" spans="2:10" x14ac:dyDescent="0.25">
      <c r="B23" s="11" t="s">
        <v>122</v>
      </c>
      <c r="C23" s="11"/>
      <c r="D23" s="11"/>
    </row>
  </sheetData>
  <mergeCells count="3">
    <mergeCell ref="B1:E1"/>
    <mergeCell ref="B6:J6"/>
    <mergeCell ref="B21:D21"/>
  </mergeCells>
  <phoneticPr fontId="29" type="noConversion"/>
  <dataValidations count="2">
    <dataValidation type="list" allowBlank="1" showInputMessage="1" showErrorMessage="1" sqref="E3" xr:uid="{00000000-0002-0000-0E00-000000000000}">
      <formula1>"通过,部分通过,不通过"</formula1>
    </dataValidation>
    <dataValidation type="list" allowBlank="1" showInputMessage="1" showErrorMessage="1" sqref="H8:H19" xr:uid="{00000000-0002-0000-0E00-000001000000}">
      <formula1>"正确,错误"</formula1>
    </dataValidation>
  </dataValidations>
  <hyperlinks>
    <hyperlink ref="A1" location="UAT测试案例清单!A1" display="返回" xr:uid="{00000000-0004-0000-0E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J23"/>
  <sheetViews>
    <sheetView zoomScale="110" zoomScaleNormal="110" workbookViewId="0">
      <selection activeCell="C4" sqref="C4"/>
    </sheetView>
  </sheetViews>
  <sheetFormatPr defaultColWidth="9" defaultRowHeight="12" x14ac:dyDescent="0.25"/>
  <cols>
    <col min="1" max="1" width="6.59765625" style="2" customWidth="1"/>
    <col min="2" max="2" width="19.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64" t="s">
        <v>459</v>
      </c>
      <c r="D3" s="50" t="s">
        <v>29</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226</v>
      </c>
      <c r="C8" s="11" t="s">
        <v>227</v>
      </c>
      <c r="D8" s="50" t="s">
        <v>228</v>
      </c>
      <c r="E8" s="50"/>
      <c r="F8" s="50"/>
      <c r="G8" s="11"/>
      <c r="H8" s="11"/>
      <c r="I8" s="11"/>
      <c r="J8" s="11"/>
    </row>
    <row r="9" spans="1:10" ht="36" x14ac:dyDescent="0.25">
      <c r="B9" s="11" t="s">
        <v>250</v>
      </c>
      <c r="C9" s="11" t="s">
        <v>251</v>
      </c>
      <c r="D9" s="50" t="s">
        <v>252</v>
      </c>
      <c r="E9" s="50"/>
      <c r="F9" s="50"/>
      <c r="G9" s="11"/>
      <c r="H9" s="11"/>
      <c r="I9" s="11"/>
      <c r="J9" s="11"/>
    </row>
    <row r="10" spans="1:10" ht="36" x14ac:dyDescent="0.25">
      <c r="B10" s="11" t="s">
        <v>253</v>
      </c>
      <c r="C10" s="11" t="s">
        <v>251</v>
      </c>
      <c r="D10" s="50" t="s">
        <v>254</v>
      </c>
      <c r="E10" s="50"/>
      <c r="F10" s="50"/>
      <c r="G10" s="11"/>
      <c r="H10" s="11"/>
      <c r="I10" s="11"/>
      <c r="J10" s="11"/>
    </row>
    <row r="11" spans="1:10" ht="48" x14ac:dyDescent="0.25">
      <c r="B11" s="11" t="s">
        <v>255</v>
      </c>
      <c r="C11" s="11" t="s">
        <v>251</v>
      </c>
      <c r="D11" s="50" t="s">
        <v>256</v>
      </c>
      <c r="E11" s="50"/>
      <c r="F11" s="50"/>
      <c r="G11" s="11"/>
      <c r="H11" s="11"/>
      <c r="I11" s="11"/>
      <c r="J11" s="11"/>
    </row>
    <row r="12" spans="1:10" x14ac:dyDescent="0.25">
      <c r="B12" s="11"/>
      <c r="C12" s="11"/>
      <c r="D12" s="50"/>
      <c r="E12" s="50"/>
      <c r="F12" s="50"/>
      <c r="G12" s="11"/>
      <c r="H12" s="11"/>
      <c r="I12" s="11"/>
      <c r="J12" s="11"/>
    </row>
    <row r="13" spans="1:10" x14ac:dyDescent="0.25">
      <c r="B13" s="11"/>
      <c r="C13" s="11"/>
      <c r="D13" s="50"/>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19" spans="2:10" x14ac:dyDescent="0.25">
      <c r="B19" s="11"/>
      <c r="C19" s="11"/>
      <c r="D19" s="50"/>
      <c r="E19" s="50"/>
      <c r="F19" s="50"/>
      <c r="G19" s="11"/>
      <c r="H19" s="11"/>
      <c r="I19" s="11"/>
      <c r="J19" s="11"/>
    </row>
    <row r="21" spans="2:10" ht="14.4" x14ac:dyDescent="0.25">
      <c r="B21" s="79" t="s">
        <v>118</v>
      </c>
      <c r="C21" s="80"/>
      <c r="D21" s="81"/>
    </row>
    <row r="22" spans="2:10" x14ac:dyDescent="0.25">
      <c r="B22" s="10" t="s">
        <v>119</v>
      </c>
      <c r="C22" s="10" t="s">
        <v>120</v>
      </c>
      <c r="D22" s="10" t="s">
        <v>121</v>
      </c>
    </row>
    <row r="23" spans="2:10" x14ac:dyDescent="0.25">
      <c r="B23" s="11" t="s">
        <v>122</v>
      </c>
      <c r="C23" s="11"/>
      <c r="D23" s="11"/>
    </row>
  </sheetData>
  <mergeCells count="3">
    <mergeCell ref="B1:E1"/>
    <mergeCell ref="B6:J6"/>
    <mergeCell ref="B21:D21"/>
  </mergeCells>
  <phoneticPr fontId="29" type="noConversion"/>
  <dataValidations count="2">
    <dataValidation type="list" allowBlank="1" showInputMessage="1" showErrorMessage="1" sqref="E3" xr:uid="{00000000-0002-0000-0F00-000000000000}">
      <formula1>"通过,部分通过,不通过"</formula1>
    </dataValidation>
    <dataValidation type="list" allowBlank="1" showInputMessage="1" showErrorMessage="1" sqref="H8:H19 I1:I1048576" xr:uid="{00000000-0002-0000-0F00-000001000000}">
      <formula1>"正确,错误"</formula1>
    </dataValidation>
  </dataValidations>
  <hyperlinks>
    <hyperlink ref="A1" location="UAT测试案例清单!A1" display="返回" xr:uid="{00000000-0004-0000-0F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J23"/>
  <sheetViews>
    <sheetView workbookViewId="0">
      <selection activeCell="C4" sqref="C4"/>
    </sheetView>
  </sheetViews>
  <sheetFormatPr defaultColWidth="9" defaultRowHeight="12" x14ac:dyDescent="0.25"/>
  <cols>
    <col min="1" max="1" width="6.59765625" style="2" customWidth="1"/>
    <col min="2" max="2" width="19.6992187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64" t="s">
        <v>458</v>
      </c>
      <c r="D3" s="50" t="s">
        <v>30</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226</v>
      </c>
      <c r="C8" s="11" t="s">
        <v>227</v>
      </c>
      <c r="D8" s="50" t="s">
        <v>228</v>
      </c>
      <c r="E8" s="50"/>
      <c r="F8" s="50"/>
      <c r="G8" s="11"/>
      <c r="H8" s="11"/>
      <c r="I8" s="11"/>
      <c r="J8" s="11"/>
    </row>
    <row r="9" spans="1:10" ht="36" x14ac:dyDescent="0.25">
      <c r="B9" s="11" t="s">
        <v>257</v>
      </c>
      <c r="C9" s="11" t="s">
        <v>258</v>
      </c>
      <c r="D9" s="50" t="s">
        <v>259</v>
      </c>
      <c r="E9" s="50"/>
      <c r="F9" s="50"/>
      <c r="G9" s="11"/>
      <c r="H9" s="11"/>
      <c r="I9" s="11"/>
      <c r="J9" s="11"/>
    </row>
    <row r="10" spans="1:10" ht="36" x14ac:dyDescent="0.25">
      <c r="B10" s="11" t="s">
        <v>260</v>
      </c>
      <c r="C10" s="11" t="s">
        <v>258</v>
      </c>
      <c r="D10" s="50" t="s">
        <v>261</v>
      </c>
      <c r="E10" s="50"/>
      <c r="F10" s="50"/>
      <c r="G10" s="11"/>
      <c r="H10" s="11"/>
      <c r="I10" s="11"/>
      <c r="J10" s="11"/>
    </row>
    <row r="11" spans="1:10" ht="48" x14ac:dyDescent="0.25">
      <c r="B11" s="11" t="s">
        <v>260</v>
      </c>
      <c r="C11" s="11" t="s">
        <v>258</v>
      </c>
      <c r="D11" s="50" t="s">
        <v>262</v>
      </c>
      <c r="E11" s="50"/>
      <c r="F11" s="50"/>
      <c r="G11" s="11"/>
      <c r="H11" s="11"/>
      <c r="I11" s="11"/>
      <c r="J11" s="11"/>
    </row>
    <row r="12" spans="1:10" x14ac:dyDescent="0.25">
      <c r="B12" s="11"/>
      <c r="C12" s="11"/>
      <c r="D12" s="50"/>
      <c r="E12" s="50"/>
      <c r="F12" s="50"/>
      <c r="G12" s="11"/>
      <c r="H12" s="11"/>
      <c r="I12" s="11"/>
      <c r="J12" s="11"/>
    </row>
    <row r="13" spans="1:10" x14ac:dyDescent="0.25">
      <c r="B13" s="11"/>
      <c r="C13" s="11"/>
      <c r="D13" s="50"/>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19" spans="2:10" x14ac:dyDescent="0.25">
      <c r="B19" s="11"/>
      <c r="C19" s="11"/>
      <c r="D19" s="50"/>
      <c r="E19" s="50"/>
      <c r="F19" s="50"/>
      <c r="G19" s="11"/>
      <c r="H19" s="11"/>
      <c r="I19" s="11"/>
      <c r="J19" s="11"/>
    </row>
    <row r="21" spans="2:10" ht="14.4" x14ac:dyDescent="0.25">
      <c r="B21" s="79" t="s">
        <v>118</v>
      </c>
      <c r="C21" s="80"/>
      <c r="D21" s="81"/>
    </row>
    <row r="22" spans="2:10" x14ac:dyDescent="0.25">
      <c r="B22" s="10" t="s">
        <v>119</v>
      </c>
      <c r="C22" s="10" t="s">
        <v>120</v>
      </c>
      <c r="D22" s="10" t="s">
        <v>121</v>
      </c>
    </row>
    <row r="23" spans="2:10" x14ac:dyDescent="0.25">
      <c r="B23" s="11" t="s">
        <v>122</v>
      </c>
      <c r="C23" s="11"/>
      <c r="D23" s="11"/>
    </row>
  </sheetData>
  <mergeCells count="3">
    <mergeCell ref="B1:E1"/>
    <mergeCell ref="B6:J6"/>
    <mergeCell ref="B21:D21"/>
  </mergeCells>
  <phoneticPr fontId="29" type="noConversion"/>
  <dataValidations count="2">
    <dataValidation type="list" allowBlank="1" showInputMessage="1" showErrorMessage="1" sqref="E3" xr:uid="{00000000-0002-0000-1000-000000000000}">
      <formula1>"通过,部分通过,不通过"</formula1>
    </dataValidation>
    <dataValidation type="list" allowBlank="1" showInputMessage="1" showErrorMessage="1" sqref="H8:H19" xr:uid="{00000000-0002-0000-1000-000001000000}">
      <formula1>"正确,错误"</formula1>
    </dataValidation>
  </dataValidations>
  <hyperlinks>
    <hyperlink ref="A1" location="UAT测试案例清单!A1" display="返回" xr:uid="{00000000-0004-0000-10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J23"/>
  <sheetViews>
    <sheetView workbookViewId="0">
      <selection activeCell="C4" sqref="C4"/>
    </sheetView>
  </sheetViews>
  <sheetFormatPr defaultColWidth="9" defaultRowHeight="12" x14ac:dyDescent="0.25"/>
  <cols>
    <col min="1" max="1" width="6.59765625" style="2" customWidth="1"/>
    <col min="2" max="2" width="20.898437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64" t="s">
        <v>457</v>
      </c>
      <c r="D3" s="50" t="s">
        <v>31</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226</v>
      </c>
      <c r="C8" s="11" t="s">
        <v>227</v>
      </c>
      <c r="D8" s="50" t="s">
        <v>228</v>
      </c>
      <c r="E8" s="50"/>
      <c r="F8" s="50"/>
      <c r="G8" s="11"/>
      <c r="H8" s="11"/>
      <c r="I8" s="11"/>
      <c r="J8" s="11"/>
    </row>
    <row r="9" spans="1:10" ht="36" x14ac:dyDescent="0.25">
      <c r="B9" s="11" t="s">
        <v>263</v>
      </c>
      <c r="C9" s="11" t="s">
        <v>264</v>
      </c>
      <c r="D9" s="50" t="s">
        <v>265</v>
      </c>
      <c r="E9" s="50"/>
      <c r="F9" s="50"/>
      <c r="G9" s="11"/>
      <c r="H9" s="11"/>
      <c r="I9" s="11"/>
      <c r="J9" s="11"/>
    </row>
    <row r="10" spans="1:10" ht="36" x14ac:dyDescent="0.25">
      <c r="B10" s="11" t="s">
        <v>263</v>
      </c>
      <c r="C10" s="11" t="s">
        <v>264</v>
      </c>
      <c r="D10" s="50" t="s">
        <v>266</v>
      </c>
      <c r="E10" s="50"/>
      <c r="F10" s="50"/>
      <c r="G10" s="11"/>
      <c r="H10" s="11"/>
      <c r="I10" s="11"/>
      <c r="J10" s="11"/>
    </row>
    <row r="11" spans="1:10" ht="48" x14ac:dyDescent="0.25">
      <c r="B11" s="11" t="s">
        <v>263</v>
      </c>
      <c r="C11" s="11" t="s">
        <v>264</v>
      </c>
      <c r="D11" s="50" t="s">
        <v>267</v>
      </c>
      <c r="E11" s="50"/>
      <c r="F11" s="50"/>
      <c r="G11" s="11"/>
      <c r="H11" s="11"/>
      <c r="I11" s="11"/>
      <c r="J11" s="11"/>
    </row>
    <row r="12" spans="1:10" x14ac:dyDescent="0.25">
      <c r="B12" s="11"/>
      <c r="C12" s="11"/>
      <c r="D12" s="50"/>
      <c r="E12" s="50"/>
      <c r="F12" s="50"/>
      <c r="G12" s="11"/>
      <c r="H12" s="11"/>
      <c r="I12" s="11"/>
      <c r="J12" s="11"/>
    </row>
    <row r="13" spans="1:10" x14ac:dyDescent="0.25">
      <c r="B13" s="11"/>
      <c r="C13" s="11"/>
      <c r="D13" s="50"/>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19" spans="2:10" x14ac:dyDescent="0.25">
      <c r="B19" s="11"/>
      <c r="C19" s="11"/>
      <c r="D19" s="50"/>
      <c r="E19" s="50"/>
      <c r="F19" s="50"/>
      <c r="G19" s="11"/>
      <c r="H19" s="11"/>
      <c r="I19" s="11"/>
      <c r="J19" s="11"/>
    </row>
    <row r="21" spans="2:10" ht="14.4" x14ac:dyDescent="0.25">
      <c r="B21" s="79" t="s">
        <v>118</v>
      </c>
      <c r="C21" s="80"/>
      <c r="D21" s="81"/>
    </row>
    <row r="22" spans="2:10" x14ac:dyDescent="0.25">
      <c r="B22" s="10" t="s">
        <v>119</v>
      </c>
      <c r="C22" s="10" t="s">
        <v>120</v>
      </c>
      <c r="D22" s="10" t="s">
        <v>121</v>
      </c>
    </row>
    <row r="23" spans="2:10" x14ac:dyDescent="0.25">
      <c r="B23" s="11" t="s">
        <v>122</v>
      </c>
      <c r="C23" s="11"/>
      <c r="D23" s="11"/>
    </row>
  </sheetData>
  <mergeCells count="3">
    <mergeCell ref="B1:E1"/>
    <mergeCell ref="B6:J6"/>
    <mergeCell ref="B21:D21"/>
  </mergeCells>
  <phoneticPr fontId="29" type="noConversion"/>
  <dataValidations count="2">
    <dataValidation type="list" allowBlank="1" showInputMessage="1" showErrorMessage="1" sqref="E3" xr:uid="{00000000-0002-0000-1100-000000000000}">
      <formula1>"通过,部分通过,不通过"</formula1>
    </dataValidation>
    <dataValidation type="list" allowBlank="1" showInputMessage="1" showErrorMessage="1" sqref="H8:H19" xr:uid="{00000000-0002-0000-1100-000001000000}">
      <formula1>"正确,错误"</formula1>
    </dataValidation>
  </dataValidations>
  <hyperlinks>
    <hyperlink ref="A1" location="UAT测试案例清单!A1" display="返回" xr:uid="{00000000-0004-0000-11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J23"/>
  <sheetViews>
    <sheetView workbookViewId="0">
      <selection activeCell="C4" sqref="C4"/>
    </sheetView>
  </sheetViews>
  <sheetFormatPr defaultColWidth="9" defaultRowHeight="12" x14ac:dyDescent="0.25"/>
  <cols>
    <col min="1" max="1" width="6.59765625" style="2" customWidth="1"/>
    <col min="2" max="2" width="19.6992187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64" t="s">
        <v>456</v>
      </c>
      <c r="D3" s="50" t="s">
        <v>32</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226</v>
      </c>
      <c r="C8" s="11" t="s">
        <v>227</v>
      </c>
      <c r="D8" s="50" t="s">
        <v>228</v>
      </c>
      <c r="E8" s="50"/>
      <c r="F8" s="50"/>
      <c r="G8" s="11"/>
      <c r="H8" s="11"/>
      <c r="I8" s="11"/>
      <c r="J8" s="11"/>
    </row>
    <row r="9" spans="1:10" ht="36" x14ac:dyDescent="0.25">
      <c r="B9" s="11" t="s">
        <v>268</v>
      </c>
      <c r="C9" s="11" t="s">
        <v>269</v>
      </c>
      <c r="D9" s="50" t="s">
        <v>270</v>
      </c>
      <c r="E9" s="50"/>
      <c r="F9" s="50"/>
      <c r="G9" s="11"/>
      <c r="H9" s="11"/>
      <c r="I9" s="11"/>
      <c r="J9" s="11"/>
    </row>
    <row r="10" spans="1:10" ht="36" x14ac:dyDescent="0.25">
      <c r="B10" s="11" t="s">
        <v>271</v>
      </c>
      <c r="C10" s="11" t="s">
        <v>269</v>
      </c>
      <c r="D10" s="50" t="s">
        <v>272</v>
      </c>
      <c r="E10" s="50"/>
      <c r="F10" s="50"/>
      <c r="G10" s="11"/>
      <c r="H10" s="11"/>
      <c r="I10" s="11"/>
      <c r="J10" s="11"/>
    </row>
    <row r="11" spans="1:10" ht="36" x14ac:dyDescent="0.25">
      <c r="B11" s="11" t="s">
        <v>273</v>
      </c>
      <c r="C11" s="11" t="s">
        <v>269</v>
      </c>
      <c r="D11" s="50" t="s">
        <v>274</v>
      </c>
      <c r="E11" s="50"/>
      <c r="F11" s="50"/>
      <c r="G11" s="11"/>
      <c r="H11" s="11"/>
      <c r="I11" s="11"/>
      <c r="J11" s="11"/>
    </row>
    <row r="12" spans="1:10" x14ac:dyDescent="0.25">
      <c r="B12" s="11"/>
      <c r="C12" s="11"/>
      <c r="D12" s="50"/>
      <c r="E12" s="50"/>
      <c r="F12" s="50"/>
      <c r="G12" s="11"/>
      <c r="H12" s="11"/>
      <c r="I12" s="11"/>
      <c r="J12" s="11"/>
    </row>
    <row r="13" spans="1:10" x14ac:dyDescent="0.25">
      <c r="B13" s="11"/>
      <c r="C13" s="11"/>
      <c r="D13" s="50"/>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19" spans="2:10" x14ac:dyDescent="0.25">
      <c r="B19" s="11"/>
      <c r="C19" s="11"/>
      <c r="D19" s="50"/>
      <c r="E19" s="50"/>
      <c r="F19" s="50"/>
      <c r="G19" s="11"/>
      <c r="H19" s="11"/>
      <c r="I19" s="11"/>
      <c r="J19" s="11"/>
    </row>
    <row r="21" spans="2:10" ht="14.4" x14ac:dyDescent="0.25">
      <c r="B21" s="79" t="s">
        <v>118</v>
      </c>
      <c r="C21" s="80"/>
      <c r="D21" s="81"/>
    </row>
    <row r="22" spans="2:10" x14ac:dyDescent="0.25">
      <c r="B22" s="10" t="s">
        <v>119</v>
      </c>
      <c r="C22" s="10" t="s">
        <v>120</v>
      </c>
      <c r="D22" s="10" t="s">
        <v>121</v>
      </c>
    </row>
    <row r="23" spans="2:10" x14ac:dyDescent="0.25">
      <c r="B23" s="11" t="s">
        <v>122</v>
      </c>
      <c r="C23" s="11"/>
      <c r="D23" s="11"/>
    </row>
  </sheetData>
  <mergeCells count="3">
    <mergeCell ref="B1:E1"/>
    <mergeCell ref="B6:J6"/>
    <mergeCell ref="B21:D21"/>
  </mergeCells>
  <phoneticPr fontId="29" type="noConversion"/>
  <dataValidations count="2">
    <dataValidation type="list" allowBlank="1" showInputMessage="1" showErrorMessage="1" sqref="E3" xr:uid="{00000000-0002-0000-1200-000000000000}">
      <formula1>"通过,部分通过,不通过"</formula1>
    </dataValidation>
    <dataValidation type="list" allowBlank="1" showInputMessage="1" showErrorMessage="1" sqref="H8:H19" xr:uid="{00000000-0002-0000-1200-000001000000}">
      <formula1>"正确,错误"</formula1>
    </dataValidation>
  </dataValidations>
  <hyperlinks>
    <hyperlink ref="A1" location="UAT测试案例清单!A1" display="返回" xr:uid="{00000000-0004-0000-12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J23"/>
  <sheetViews>
    <sheetView workbookViewId="0">
      <selection activeCell="C4" sqref="C4"/>
    </sheetView>
  </sheetViews>
  <sheetFormatPr defaultColWidth="9" defaultRowHeight="12" x14ac:dyDescent="0.25"/>
  <cols>
    <col min="1" max="1" width="6.59765625" style="2" customWidth="1"/>
    <col min="2" max="2" width="19.19921875" style="2" customWidth="1"/>
    <col min="3" max="3" width="15.796875" style="2" customWidth="1"/>
    <col min="4" max="4" width="40.69921875" style="2" customWidth="1"/>
    <col min="5" max="5" width="31" style="2" customWidth="1"/>
    <col min="6" max="6" width="18.8984375" style="2" customWidth="1"/>
    <col min="7" max="7" width="16.5" style="2" customWidth="1"/>
    <col min="8" max="9" width="24.59765625" style="2" customWidth="1"/>
    <col min="10" max="10" width="17.8984375" style="2" customWidth="1"/>
    <col min="11" max="16384" width="9" style="2"/>
  </cols>
  <sheetData>
    <row r="1" spans="1:10" ht="14.4" x14ac:dyDescent="0.25">
      <c r="A1" s="3" t="s">
        <v>83</v>
      </c>
      <c r="B1" s="79" t="s">
        <v>84</v>
      </c>
      <c r="C1" s="80"/>
      <c r="D1" s="80"/>
      <c r="E1" s="81"/>
    </row>
    <row r="2" spans="1:10" x14ac:dyDescent="0.25">
      <c r="B2" s="10" t="s">
        <v>0</v>
      </c>
      <c r="C2" s="10" t="s">
        <v>85</v>
      </c>
      <c r="D2" s="10" t="s">
        <v>86</v>
      </c>
      <c r="E2" s="10" t="s">
        <v>87</v>
      </c>
      <c r="F2" s="10" t="s">
        <v>3</v>
      </c>
    </row>
    <row r="3" spans="1:10" x14ac:dyDescent="0.25">
      <c r="B3" s="50" t="s">
        <v>88</v>
      </c>
      <c r="C3" s="64" t="s">
        <v>455</v>
      </c>
      <c r="D3" s="50" t="s">
        <v>33</v>
      </c>
      <c r="E3" s="50"/>
      <c r="F3" s="50"/>
    </row>
    <row r="6" spans="1:10" ht="14.4" x14ac:dyDescent="0.25">
      <c r="B6" s="79" t="s">
        <v>89</v>
      </c>
      <c r="C6" s="80"/>
      <c r="D6" s="80"/>
      <c r="E6" s="80"/>
      <c r="F6" s="80"/>
      <c r="G6" s="80"/>
      <c r="H6" s="80"/>
      <c r="I6" s="80"/>
      <c r="J6" s="81"/>
    </row>
    <row r="7" spans="1:10" ht="28.5" customHeight="1" x14ac:dyDescent="0.25">
      <c r="B7" s="10" t="s">
        <v>90</v>
      </c>
      <c r="C7" s="10" t="s">
        <v>91</v>
      </c>
      <c r="D7" s="10" t="s">
        <v>92</v>
      </c>
      <c r="E7" s="10" t="s">
        <v>93</v>
      </c>
      <c r="F7" s="10" t="s">
        <v>94</v>
      </c>
      <c r="G7" s="10" t="s">
        <v>95</v>
      </c>
      <c r="H7" s="10" t="s">
        <v>96</v>
      </c>
      <c r="I7" s="10" t="s">
        <v>97</v>
      </c>
      <c r="J7" s="10" t="s">
        <v>98</v>
      </c>
    </row>
    <row r="8" spans="1:10" ht="24" x14ac:dyDescent="0.25">
      <c r="B8" s="11" t="s">
        <v>226</v>
      </c>
      <c r="C8" s="11" t="s">
        <v>227</v>
      </c>
      <c r="D8" s="50" t="s">
        <v>228</v>
      </c>
      <c r="E8" s="50"/>
      <c r="F8" s="50"/>
      <c r="G8" s="11"/>
      <c r="H8" s="11"/>
      <c r="I8" s="11"/>
      <c r="J8" s="11"/>
    </row>
    <row r="9" spans="1:10" ht="36" x14ac:dyDescent="0.25">
      <c r="B9" s="11" t="s">
        <v>275</v>
      </c>
      <c r="C9" s="11" t="s">
        <v>276</v>
      </c>
      <c r="D9" s="50" t="s">
        <v>277</v>
      </c>
      <c r="E9" s="50"/>
      <c r="F9" s="50"/>
      <c r="G9" s="11"/>
      <c r="H9" s="11"/>
      <c r="I9" s="11"/>
      <c r="J9" s="11"/>
    </row>
    <row r="10" spans="1:10" ht="36" x14ac:dyDescent="0.25">
      <c r="B10" s="11" t="s">
        <v>278</v>
      </c>
      <c r="C10" s="11" t="s">
        <v>276</v>
      </c>
      <c r="D10" s="50" t="s">
        <v>279</v>
      </c>
      <c r="E10" s="50"/>
      <c r="F10" s="50"/>
      <c r="G10" s="11"/>
      <c r="H10" s="11"/>
      <c r="I10" s="11"/>
      <c r="J10" s="11"/>
    </row>
    <row r="11" spans="1:10" ht="48" x14ac:dyDescent="0.25">
      <c r="B11" s="11" t="s">
        <v>280</v>
      </c>
      <c r="C11" s="11" t="s">
        <v>276</v>
      </c>
      <c r="D11" s="50" t="s">
        <v>281</v>
      </c>
      <c r="E11" s="50"/>
      <c r="F11" s="50"/>
      <c r="G11" s="11"/>
      <c r="H11" s="11"/>
      <c r="I11" s="11"/>
      <c r="J11" s="11"/>
    </row>
    <row r="12" spans="1:10" x14ac:dyDescent="0.25">
      <c r="B12" s="11"/>
      <c r="C12" s="11"/>
      <c r="D12" s="50"/>
      <c r="E12" s="50"/>
      <c r="F12" s="50"/>
      <c r="G12" s="11"/>
      <c r="H12" s="11"/>
      <c r="I12" s="11"/>
      <c r="J12" s="11"/>
    </row>
    <row r="13" spans="1:10" x14ac:dyDescent="0.25">
      <c r="B13" s="11"/>
      <c r="C13" s="11"/>
      <c r="D13" s="50"/>
      <c r="E13" s="50"/>
      <c r="F13" s="50"/>
      <c r="G13" s="11"/>
      <c r="H13" s="11"/>
      <c r="I13" s="11"/>
      <c r="J13" s="11"/>
    </row>
    <row r="14" spans="1:10" x14ac:dyDescent="0.25">
      <c r="B14" s="11"/>
      <c r="C14" s="11"/>
      <c r="D14" s="50"/>
      <c r="E14" s="50"/>
      <c r="F14" s="50"/>
      <c r="G14" s="11"/>
      <c r="H14" s="11"/>
      <c r="I14" s="11"/>
      <c r="J14" s="11"/>
    </row>
    <row r="15" spans="1:10" x14ac:dyDescent="0.25">
      <c r="B15" s="11"/>
      <c r="C15" s="11"/>
      <c r="D15" s="50"/>
      <c r="E15" s="50"/>
      <c r="F15" s="50"/>
      <c r="G15" s="11"/>
      <c r="H15" s="11"/>
      <c r="I15" s="11"/>
      <c r="J15" s="11"/>
    </row>
    <row r="16" spans="1:10" x14ac:dyDescent="0.25">
      <c r="B16" s="11"/>
      <c r="C16" s="11"/>
      <c r="D16" s="50"/>
      <c r="E16" s="50"/>
      <c r="F16" s="50"/>
      <c r="G16" s="11"/>
      <c r="H16" s="11"/>
      <c r="I16" s="11"/>
      <c r="J16" s="11"/>
    </row>
    <row r="17" spans="2:10" x14ac:dyDescent="0.25">
      <c r="B17" s="11"/>
      <c r="C17" s="11"/>
      <c r="D17" s="50"/>
      <c r="E17" s="50"/>
      <c r="F17" s="50"/>
      <c r="G17" s="11"/>
      <c r="H17" s="11"/>
      <c r="I17" s="11"/>
      <c r="J17" s="11"/>
    </row>
    <row r="18" spans="2:10" x14ac:dyDescent="0.25">
      <c r="B18" s="11"/>
      <c r="C18" s="11"/>
      <c r="D18" s="50"/>
      <c r="E18" s="50"/>
      <c r="F18" s="50"/>
      <c r="G18" s="11"/>
      <c r="H18" s="11"/>
      <c r="I18" s="11"/>
      <c r="J18" s="11"/>
    </row>
    <row r="19" spans="2:10" x14ac:dyDescent="0.25">
      <c r="B19" s="11"/>
      <c r="C19" s="11"/>
      <c r="D19" s="50"/>
      <c r="E19" s="50"/>
      <c r="F19" s="50"/>
      <c r="G19" s="11"/>
      <c r="H19" s="11"/>
      <c r="I19" s="11"/>
      <c r="J19" s="11"/>
    </row>
    <row r="21" spans="2:10" ht="14.4" x14ac:dyDescent="0.25">
      <c r="B21" s="79" t="s">
        <v>118</v>
      </c>
      <c r="C21" s="80"/>
      <c r="D21" s="81"/>
    </row>
    <row r="22" spans="2:10" x14ac:dyDescent="0.25">
      <c r="B22" s="10" t="s">
        <v>119</v>
      </c>
      <c r="C22" s="10" t="s">
        <v>120</v>
      </c>
      <c r="D22" s="10" t="s">
        <v>121</v>
      </c>
    </row>
    <row r="23" spans="2:10" x14ac:dyDescent="0.25">
      <c r="B23" s="11" t="s">
        <v>122</v>
      </c>
      <c r="C23" s="11"/>
      <c r="D23" s="11"/>
    </row>
  </sheetData>
  <mergeCells count="3">
    <mergeCell ref="B1:E1"/>
    <mergeCell ref="B6:J6"/>
    <mergeCell ref="B21:D21"/>
  </mergeCells>
  <phoneticPr fontId="29" type="noConversion"/>
  <dataValidations count="2">
    <dataValidation type="list" allowBlank="1" showInputMessage="1" showErrorMessage="1" sqref="E3" xr:uid="{00000000-0002-0000-1300-000000000000}">
      <formula1>"通过,部分通过,不通过"</formula1>
    </dataValidation>
    <dataValidation type="list" allowBlank="1" showInputMessage="1" showErrorMessage="1" sqref="H8:H19" xr:uid="{00000000-0002-0000-1300-000001000000}">
      <formula1>"正确,错误"</formula1>
    </dataValidation>
  </dataValidations>
  <hyperlinks>
    <hyperlink ref="A1" location="UAT测试案例清单!A1" display="返回" xr:uid="{00000000-0004-0000-13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J29"/>
  <sheetViews>
    <sheetView workbookViewId="0">
      <pane ySplit="7" topLeftCell="A13" activePane="bottomLeft" state="frozen"/>
      <selection pane="bottomLeft"/>
    </sheetView>
  </sheetViews>
  <sheetFormatPr defaultColWidth="9" defaultRowHeight="12" x14ac:dyDescent="0.25"/>
  <cols>
    <col min="1" max="1" width="6.59765625" style="1" customWidth="1"/>
    <col min="2" max="2" width="19.69921875" style="1" customWidth="1"/>
    <col min="3" max="3" width="23.3984375" style="1" customWidth="1"/>
    <col min="4" max="4" width="55.09765625" style="1" customWidth="1"/>
    <col min="5" max="5" width="31"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3.3984375" style="1" customWidth="1"/>
    <col min="261" max="261" width="55.09765625" style="1" customWidth="1"/>
    <col min="262" max="262" width="31"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3.3984375" style="1" customWidth="1"/>
    <col min="517" max="517" width="55.09765625" style="1" customWidth="1"/>
    <col min="518" max="518" width="31"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3.3984375" style="1" customWidth="1"/>
    <col min="773" max="773" width="55.09765625" style="1" customWidth="1"/>
    <col min="774" max="774" width="31"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3.3984375" style="1" customWidth="1"/>
    <col min="1029" max="1029" width="55.09765625" style="1" customWidth="1"/>
    <col min="1030" max="1030" width="31"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3.3984375" style="1" customWidth="1"/>
    <col min="1285" max="1285" width="55.09765625" style="1" customWidth="1"/>
    <col min="1286" max="1286" width="31"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3.3984375" style="1" customWidth="1"/>
    <col min="1541" max="1541" width="55.09765625" style="1" customWidth="1"/>
    <col min="1542" max="1542" width="31"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3.3984375" style="1" customWidth="1"/>
    <col min="1797" max="1797" width="55.09765625" style="1" customWidth="1"/>
    <col min="1798" max="1798" width="31"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3.3984375" style="1" customWidth="1"/>
    <col min="2053" max="2053" width="55.09765625" style="1" customWidth="1"/>
    <col min="2054" max="2054" width="31"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3.3984375" style="1" customWidth="1"/>
    <col min="2309" max="2309" width="55.09765625" style="1" customWidth="1"/>
    <col min="2310" max="2310" width="31"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3.3984375" style="1" customWidth="1"/>
    <col min="2565" max="2565" width="55.09765625" style="1" customWidth="1"/>
    <col min="2566" max="2566" width="31"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3.3984375" style="1" customWidth="1"/>
    <col min="2821" max="2821" width="55.09765625" style="1" customWidth="1"/>
    <col min="2822" max="2822" width="31"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3.3984375" style="1" customWidth="1"/>
    <col min="3077" max="3077" width="55.09765625" style="1" customWidth="1"/>
    <col min="3078" max="3078" width="31"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3.3984375" style="1" customWidth="1"/>
    <col min="3333" max="3333" width="55.09765625" style="1" customWidth="1"/>
    <col min="3334" max="3334" width="31"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3.3984375" style="1" customWidth="1"/>
    <col min="3589" max="3589" width="55.09765625" style="1" customWidth="1"/>
    <col min="3590" max="3590" width="31"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3.3984375" style="1" customWidth="1"/>
    <col min="3845" max="3845" width="55.09765625" style="1" customWidth="1"/>
    <col min="3846" max="3846" width="31"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3.3984375" style="1" customWidth="1"/>
    <col min="4101" max="4101" width="55.09765625" style="1" customWidth="1"/>
    <col min="4102" max="4102" width="31"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3.3984375" style="1" customWidth="1"/>
    <col min="4357" max="4357" width="55.09765625" style="1" customWidth="1"/>
    <col min="4358" max="4358" width="31"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3.3984375" style="1" customWidth="1"/>
    <col min="4613" max="4613" width="55.09765625" style="1" customWidth="1"/>
    <col min="4614" max="4614" width="31"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3.3984375" style="1" customWidth="1"/>
    <col min="4869" max="4869" width="55.09765625" style="1" customWidth="1"/>
    <col min="4870" max="4870" width="31"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3.3984375" style="1" customWidth="1"/>
    <col min="5125" max="5125" width="55.09765625" style="1" customWidth="1"/>
    <col min="5126" max="5126" width="31"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3.3984375" style="1" customWidth="1"/>
    <col min="5381" max="5381" width="55.09765625" style="1" customWidth="1"/>
    <col min="5382" max="5382" width="31"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3.3984375" style="1" customWidth="1"/>
    <col min="5637" max="5637" width="55.09765625" style="1" customWidth="1"/>
    <col min="5638" max="5638" width="31"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3.3984375" style="1" customWidth="1"/>
    <col min="5893" max="5893" width="55.09765625" style="1" customWidth="1"/>
    <col min="5894" max="5894" width="31"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3.3984375" style="1" customWidth="1"/>
    <col min="6149" max="6149" width="55.09765625" style="1" customWidth="1"/>
    <col min="6150" max="6150" width="31"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3.3984375" style="1" customWidth="1"/>
    <col min="6405" max="6405" width="55.09765625" style="1" customWidth="1"/>
    <col min="6406" max="6406" width="31"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3.3984375" style="1" customWidth="1"/>
    <col min="6661" max="6661" width="55.09765625" style="1" customWidth="1"/>
    <col min="6662" max="6662" width="31"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3.3984375" style="1" customWidth="1"/>
    <col min="6917" max="6917" width="55.09765625" style="1" customWidth="1"/>
    <col min="6918" max="6918" width="31"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3.3984375" style="1" customWidth="1"/>
    <col min="7173" max="7173" width="55.09765625" style="1" customWidth="1"/>
    <col min="7174" max="7174" width="31"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3.3984375" style="1" customWidth="1"/>
    <col min="7429" max="7429" width="55.09765625" style="1" customWidth="1"/>
    <col min="7430" max="7430" width="31"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3.3984375" style="1" customWidth="1"/>
    <col min="7685" max="7685" width="55.09765625" style="1" customWidth="1"/>
    <col min="7686" max="7686" width="31"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3.3984375" style="1" customWidth="1"/>
    <col min="7941" max="7941" width="55.09765625" style="1" customWidth="1"/>
    <col min="7942" max="7942" width="31"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3.3984375" style="1" customWidth="1"/>
    <col min="8197" max="8197" width="55.09765625" style="1" customWidth="1"/>
    <col min="8198" max="8198" width="31"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3.3984375" style="1" customWidth="1"/>
    <col min="8453" max="8453" width="55.09765625" style="1" customWidth="1"/>
    <col min="8454" max="8454" width="31"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3.3984375" style="1" customWidth="1"/>
    <col min="8709" max="8709" width="55.09765625" style="1" customWidth="1"/>
    <col min="8710" max="8710" width="31"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3.3984375" style="1" customWidth="1"/>
    <col min="8965" max="8965" width="55.09765625" style="1" customWidth="1"/>
    <col min="8966" max="8966" width="31"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3.3984375" style="1" customWidth="1"/>
    <col min="9221" max="9221" width="55.09765625" style="1" customWidth="1"/>
    <col min="9222" max="9222" width="31"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3.3984375" style="1" customWidth="1"/>
    <col min="9477" max="9477" width="55.09765625" style="1" customWidth="1"/>
    <col min="9478" max="9478" width="31"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3.3984375" style="1" customWidth="1"/>
    <col min="9733" max="9733" width="55.09765625" style="1" customWidth="1"/>
    <col min="9734" max="9734" width="31"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3.3984375" style="1" customWidth="1"/>
    <col min="9989" max="9989" width="55.09765625" style="1" customWidth="1"/>
    <col min="9990" max="9990" width="31"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3.3984375" style="1" customWidth="1"/>
    <col min="10245" max="10245" width="55.09765625" style="1" customWidth="1"/>
    <col min="10246" max="10246" width="31"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3.3984375" style="1" customWidth="1"/>
    <col min="10501" max="10501" width="55.09765625" style="1" customWidth="1"/>
    <col min="10502" max="10502" width="31"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3.3984375" style="1" customWidth="1"/>
    <col min="10757" max="10757" width="55.09765625" style="1" customWidth="1"/>
    <col min="10758" max="10758" width="31"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3.3984375" style="1" customWidth="1"/>
    <col min="11013" max="11013" width="55.09765625" style="1" customWidth="1"/>
    <col min="11014" max="11014" width="31"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3.3984375" style="1" customWidth="1"/>
    <col min="11269" max="11269" width="55.09765625" style="1" customWidth="1"/>
    <col min="11270" max="11270" width="31"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3.3984375" style="1" customWidth="1"/>
    <col min="11525" max="11525" width="55.09765625" style="1" customWidth="1"/>
    <col min="11526" max="11526" width="31"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3.3984375" style="1" customWidth="1"/>
    <col min="11781" max="11781" width="55.09765625" style="1" customWidth="1"/>
    <col min="11782" max="11782" width="31"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3.3984375" style="1" customWidth="1"/>
    <col min="12037" max="12037" width="55.09765625" style="1" customWidth="1"/>
    <col min="12038" max="12038" width="31"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3.3984375" style="1" customWidth="1"/>
    <col min="12293" max="12293" width="55.09765625" style="1" customWidth="1"/>
    <col min="12294" max="12294" width="31"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3.3984375" style="1" customWidth="1"/>
    <col min="12549" max="12549" width="55.09765625" style="1" customWidth="1"/>
    <col min="12550" max="12550" width="31"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3.3984375" style="1" customWidth="1"/>
    <col min="12805" max="12805" width="55.09765625" style="1" customWidth="1"/>
    <col min="12806" max="12806" width="31"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3.3984375" style="1" customWidth="1"/>
    <col min="13061" max="13061" width="55.09765625" style="1" customWidth="1"/>
    <col min="13062" max="13062" width="31"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3.3984375" style="1" customWidth="1"/>
    <col min="13317" max="13317" width="55.09765625" style="1" customWidth="1"/>
    <col min="13318" max="13318" width="31"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3.3984375" style="1" customWidth="1"/>
    <col min="13573" max="13573" width="55.09765625" style="1" customWidth="1"/>
    <col min="13574" max="13574" width="31"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3.3984375" style="1" customWidth="1"/>
    <col min="13829" max="13829" width="55.09765625" style="1" customWidth="1"/>
    <col min="13830" max="13830" width="31"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3.3984375" style="1" customWidth="1"/>
    <col min="14085" max="14085" width="55.09765625" style="1" customWidth="1"/>
    <col min="14086" max="14086" width="31"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3.3984375" style="1" customWidth="1"/>
    <col min="14341" max="14341" width="55.09765625" style="1" customWidth="1"/>
    <col min="14342" max="14342" width="31"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3.3984375" style="1" customWidth="1"/>
    <col min="14597" max="14597" width="55.09765625" style="1" customWidth="1"/>
    <col min="14598" max="14598" width="31"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3.3984375" style="1" customWidth="1"/>
    <col min="14853" max="14853" width="55.09765625" style="1" customWidth="1"/>
    <col min="14854" max="14854" width="31"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3.3984375" style="1" customWidth="1"/>
    <col min="15109" max="15109" width="55.09765625" style="1" customWidth="1"/>
    <col min="15110" max="15110" width="31"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3.3984375" style="1" customWidth="1"/>
    <col min="15365" max="15365" width="55.09765625" style="1" customWidth="1"/>
    <col min="15366" max="15366" width="31"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3.3984375" style="1" customWidth="1"/>
    <col min="15621" max="15621" width="55.09765625" style="1" customWidth="1"/>
    <col min="15622" max="15622" width="31"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3.3984375" style="1" customWidth="1"/>
    <col min="15877" max="15877" width="55.09765625" style="1" customWidth="1"/>
    <col min="15878" max="15878" width="31"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3.3984375" style="1" customWidth="1"/>
    <col min="16133" max="16133" width="55.09765625" style="1" customWidth="1"/>
    <col min="16134" max="16134" width="31"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15" x14ac:dyDescent="0.25">
      <c r="B3" s="5" t="s">
        <v>88</v>
      </c>
      <c r="C3" s="5" t="s">
        <v>34</v>
      </c>
      <c r="D3" s="5" t="s">
        <v>282</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01.55" customHeight="1" x14ac:dyDescent="0.25">
      <c r="B8" s="7" t="s">
        <v>283</v>
      </c>
      <c r="C8" s="5" t="s">
        <v>284</v>
      </c>
      <c r="D8" s="8" t="s">
        <v>285</v>
      </c>
      <c r="E8" s="5"/>
      <c r="F8" s="5"/>
      <c r="G8" s="7"/>
      <c r="H8" s="7"/>
      <c r="I8" s="11"/>
      <c r="J8" s="7"/>
    </row>
    <row r="9" spans="1:10" ht="103.5" customHeight="1" x14ac:dyDescent="0.25">
      <c r="B9" s="7" t="s">
        <v>283</v>
      </c>
      <c r="C9" s="5" t="s">
        <v>284</v>
      </c>
      <c r="D9" s="8" t="s">
        <v>286</v>
      </c>
      <c r="E9" s="5"/>
      <c r="F9" s="5"/>
      <c r="G9" s="7"/>
      <c r="H9" s="7"/>
      <c r="I9" s="11"/>
      <c r="J9" s="7"/>
    </row>
    <row r="10" spans="1:10" ht="48" customHeight="1" x14ac:dyDescent="0.25">
      <c r="B10" s="7" t="s">
        <v>24</v>
      </c>
      <c r="C10" s="5" t="s">
        <v>287</v>
      </c>
      <c r="D10" s="8" t="s">
        <v>288</v>
      </c>
      <c r="E10" s="5"/>
      <c r="F10" s="5"/>
      <c r="G10" s="7"/>
      <c r="H10" s="7"/>
      <c r="I10" s="11"/>
      <c r="J10" s="7"/>
    </row>
    <row r="11" spans="1:10" ht="84" customHeight="1" x14ac:dyDescent="0.25">
      <c r="B11" s="7" t="s">
        <v>289</v>
      </c>
      <c r="C11" s="7" t="s">
        <v>290</v>
      </c>
      <c r="D11" s="8" t="s">
        <v>291</v>
      </c>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E14" s="9"/>
      <c r="F14" s="9"/>
      <c r="G14" s="9"/>
      <c r="H14" s="9"/>
      <c r="I14" s="11"/>
      <c r="J14" s="9"/>
    </row>
    <row r="15" spans="1:10" ht="14.4" x14ac:dyDescent="0.25">
      <c r="B15" s="90" t="s">
        <v>118</v>
      </c>
      <c r="C15" s="91"/>
      <c r="D15" s="91"/>
      <c r="E15" s="9"/>
      <c r="F15" s="9"/>
      <c r="G15" s="9"/>
      <c r="H15" s="9"/>
      <c r="I15" s="11"/>
      <c r="J15" s="9"/>
    </row>
    <row r="16" spans="1:10" x14ac:dyDescent="0.25">
      <c r="B16" s="4" t="s">
        <v>119</v>
      </c>
      <c r="C16" s="4" t="s">
        <v>120</v>
      </c>
      <c r="D16" s="4" t="s">
        <v>121</v>
      </c>
      <c r="I16" s="11"/>
    </row>
    <row r="17" spans="2:9" x14ac:dyDescent="0.25">
      <c r="B17" s="7" t="s">
        <v>122</v>
      </c>
      <c r="C17" s="7"/>
      <c r="D17" s="7"/>
      <c r="I17" s="26"/>
    </row>
    <row r="18" spans="2:9" x14ac:dyDescent="0.25">
      <c r="I18" s="26"/>
    </row>
    <row r="19" spans="2:9" ht="14.4" x14ac:dyDescent="0.25">
      <c r="B19" s="90" t="s">
        <v>292</v>
      </c>
      <c r="C19" s="91"/>
      <c r="D19" s="91"/>
      <c r="I19" s="26"/>
    </row>
    <row r="20" spans="2:9" ht="23.55" customHeight="1" x14ac:dyDescent="0.15">
      <c r="B20" s="32" t="s">
        <v>293</v>
      </c>
      <c r="C20" s="33"/>
      <c r="D20" s="33"/>
      <c r="E20" s="33"/>
      <c r="F20" s="33"/>
      <c r="G20" s="33"/>
    </row>
    <row r="21" spans="2:9" ht="32.4" customHeight="1" x14ac:dyDescent="0.25">
      <c r="B21" s="88" t="s">
        <v>294</v>
      </c>
      <c r="C21" s="89"/>
      <c r="D21" s="89"/>
      <c r="E21" s="89"/>
      <c r="F21" s="89"/>
    </row>
    <row r="22" spans="2:9" x14ac:dyDescent="0.15">
      <c r="B22" s="34"/>
      <c r="C22" s="35" t="s">
        <v>295</v>
      </c>
      <c r="D22" s="36" t="s">
        <v>296</v>
      </c>
      <c r="E22" s="36" t="s">
        <v>297</v>
      </c>
      <c r="F22" s="36" t="s">
        <v>298</v>
      </c>
      <c r="G22" s="37" t="s">
        <v>3</v>
      </c>
    </row>
    <row r="23" spans="2:9" ht="24" x14ac:dyDescent="0.15">
      <c r="B23" s="35" t="s">
        <v>299</v>
      </c>
      <c r="C23" s="34">
        <v>10000</v>
      </c>
      <c r="D23" s="34">
        <v>23</v>
      </c>
      <c r="E23" s="34">
        <v>2</v>
      </c>
      <c r="F23" s="34">
        <f>ROUND(C23/21.75*(2),2)</f>
        <v>919.54</v>
      </c>
      <c r="G23" s="38" t="s">
        <v>300</v>
      </c>
    </row>
    <row r="24" spans="2:9" x14ac:dyDescent="0.15">
      <c r="B24" s="44"/>
      <c r="C24" s="44"/>
      <c r="D24" s="45"/>
      <c r="E24" s="45"/>
      <c r="F24" s="46"/>
    </row>
    <row r="25" spans="2:9" ht="36.6" customHeight="1" x14ac:dyDescent="0.25">
      <c r="B25" s="88" t="s">
        <v>301</v>
      </c>
      <c r="C25" s="89"/>
      <c r="D25" s="89"/>
      <c r="E25" s="89"/>
      <c r="F25" s="89"/>
    </row>
    <row r="26" spans="2:9" ht="4.95" customHeight="1" x14ac:dyDescent="0.15">
      <c r="B26" s="44"/>
      <c r="C26" s="44"/>
      <c r="D26" s="45"/>
      <c r="E26" s="45"/>
      <c r="F26" s="46"/>
    </row>
    <row r="27" spans="2:9" x14ac:dyDescent="0.15">
      <c r="B27" s="34"/>
      <c r="C27" s="35" t="s">
        <v>295</v>
      </c>
      <c r="D27" s="36" t="s">
        <v>296</v>
      </c>
      <c r="E27" s="36" t="s">
        <v>297</v>
      </c>
      <c r="F27" s="36" t="s">
        <v>298</v>
      </c>
      <c r="G27" s="37" t="s">
        <v>3</v>
      </c>
    </row>
    <row r="28" spans="2:9" ht="24" x14ac:dyDescent="0.15">
      <c r="B28" s="35" t="s">
        <v>299</v>
      </c>
      <c r="C28" s="34">
        <v>10000</v>
      </c>
      <c r="D28" s="34">
        <v>19</v>
      </c>
      <c r="E28" s="34">
        <v>12</v>
      </c>
      <c r="F28" s="34">
        <f>ROUND(C28/21.75*(21.75-(19-12)),2)</f>
        <v>6781.61</v>
      </c>
      <c r="G28" s="38" t="s">
        <v>302</v>
      </c>
    </row>
    <row r="29" spans="2:9" x14ac:dyDescent="0.15">
      <c r="B29" s="44"/>
      <c r="C29" s="44"/>
      <c r="D29" s="45"/>
      <c r="E29" s="45"/>
      <c r="F29" s="46"/>
    </row>
  </sheetData>
  <mergeCells count="6">
    <mergeCell ref="B25:F25"/>
    <mergeCell ref="B1:E1"/>
    <mergeCell ref="B6:J6"/>
    <mergeCell ref="B15:D15"/>
    <mergeCell ref="B19:D19"/>
    <mergeCell ref="B21:F21"/>
  </mergeCells>
  <phoneticPr fontId="29" type="noConversion"/>
  <dataValidations count="2">
    <dataValidation type="list" allowBlank="1" showInputMessage="1" showErrorMessage="1" sqref="E3" xr:uid="{00000000-0002-0000-1400-000000000000}">
      <formula1>"通过,部分通过,不通过"</formula1>
    </dataValidation>
    <dataValidation type="list" allowBlank="1" showInputMessage="1" showErrorMessage="1" sqref="H8:H13 H65526:H65531 H131062:H131067 H196598:H196603 H262134:H262139 H327670:H327675 H393206:H393211 H458742:H458747 H524278:H524283 H589814:H589819 H655350:H655355 H720886:H720891 H786422:H786427 H851958:H851963 H917494:H917499 H983030:H983035 JE8:JE13 JE65526:JE65531 JE131062:JE131067 JE196598:JE196603 JE262134:JE262139 JE327670:JE327675 JE393206:JE393211 JE458742:JE458747 JE524278:JE524283 JE589814:JE589819 JE655350:JE655355 JE720886:JE720891 JE786422:JE786427 JE851958:JE851963 JE917494:JE917499 JE983030:JE983035 TA8:TA13 TA65526:TA65531 TA131062:TA131067 TA196598:TA196603 TA262134:TA262139 TA327670:TA327675 TA393206:TA393211 TA458742:TA458747 TA524278:TA524283 TA589814:TA589819 TA655350:TA655355 TA720886:TA720891 TA786422:TA786427 TA851958:TA851963 TA917494:TA917499 TA983030:TA983035 ACW8:ACW13 ACW65526:ACW65531 ACW131062:ACW131067 ACW196598:ACW196603 ACW262134:ACW262139 ACW327670:ACW327675 ACW393206:ACW393211 ACW458742:ACW458747 ACW524278:ACW524283 ACW589814:ACW589819 ACW655350:ACW655355 ACW720886:ACW720891 ACW786422:ACW786427 ACW851958:ACW851963 ACW917494:ACW917499 ACW983030:ACW983035 AMS8:AMS13 AMS65526:AMS65531 AMS131062:AMS131067 AMS196598:AMS196603 AMS262134:AMS262139 AMS327670:AMS327675 AMS393206:AMS393211 AMS458742:AMS458747 AMS524278:AMS524283 AMS589814:AMS589819 AMS655350:AMS655355 AMS720886:AMS720891 AMS786422:AMS786427 AMS851958:AMS851963 AMS917494:AMS917499 AMS983030:AMS983035 AWO8:AWO13 AWO65526:AWO65531 AWO131062:AWO131067 AWO196598:AWO196603 AWO262134:AWO262139 AWO327670:AWO327675 AWO393206:AWO393211 AWO458742:AWO458747 AWO524278:AWO524283 AWO589814:AWO589819 AWO655350:AWO655355 AWO720886:AWO720891 AWO786422:AWO786427 AWO851958:AWO851963 AWO917494:AWO917499 AWO983030:AWO983035 BGK8:BGK13 BGK65526:BGK65531 BGK131062:BGK131067 BGK196598:BGK196603 BGK262134:BGK262139 BGK327670:BGK327675 BGK393206:BGK393211 BGK458742:BGK458747 BGK524278:BGK524283 BGK589814:BGK589819 BGK655350:BGK655355 BGK720886:BGK720891 BGK786422:BGK786427 BGK851958:BGK851963 BGK917494:BGK917499 BGK983030:BGK983035 BQG8:BQG13 BQG65526:BQG65531 BQG131062:BQG131067 BQG196598:BQG196603 BQG262134:BQG262139 BQG327670:BQG327675 BQG393206:BQG393211 BQG458742:BQG458747 BQG524278:BQG524283 BQG589814:BQG589819 BQG655350:BQG655355 BQG720886:BQG720891 BQG786422:BQG786427 BQG851958:BQG851963 BQG917494:BQG917499 BQG983030:BQG983035 CAC8:CAC13 CAC65526:CAC65531 CAC131062:CAC131067 CAC196598:CAC196603 CAC262134:CAC262139 CAC327670:CAC327675 CAC393206:CAC393211 CAC458742:CAC458747 CAC524278:CAC524283 CAC589814:CAC589819 CAC655350:CAC655355 CAC720886:CAC720891 CAC786422:CAC786427 CAC851958:CAC851963 CAC917494:CAC917499 CAC983030:CAC983035 CJY8:CJY13 CJY65526:CJY65531 CJY131062:CJY131067 CJY196598:CJY196603 CJY262134:CJY262139 CJY327670:CJY327675 CJY393206:CJY393211 CJY458742:CJY458747 CJY524278:CJY524283 CJY589814:CJY589819 CJY655350:CJY655355 CJY720886:CJY720891 CJY786422:CJY786427 CJY851958:CJY851963 CJY917494:CJY917499 CJY983030:CJY983035 CTU8:CTU13 CTU65526:CTU65531 CTU131062:CTU131067 CTU196598:CTU196603 CTU262134:CTU262139 CTU327670:CTU327675 CTU393206:CTU393211 CTU458742:CTU458747 CTU524278:CTU524283 CTU589814:CTU589819 CTU655350:CTU655355 CTU720886:CTU720891 CTU786422:CTU786427 CTU851958:CTU851963 CTU917494:CTU917499 CTU983030:CTU983035 DDQ8:DDQ13 DDQ65526:DDQ65531 DDQ131062:DDQ131067 DDQ196598:DDQ196603 DDQ262134:DDQ262139 DDQ327670:DDQ327675 DDQ393206:DDQ393211 DDQ458742:DDQ458747 DDQ524278:DDQ524283 DDQ589814:DDQ589819 DDQ655350:DDQ655355 DDQ720886:DDQ720891 DDQ786422:DDQ786427 DDQ851958:DDQ851963 DDQ917494:DDQ917499 DDQ983030:DDQ983035 DNM8:DNM13 DNM65526:DNM65531 DNM131062:DNM131067 DNM196598:DNM196603 DNM262134:DNM262139 DNM327670:DNM327675 DNM393206:DNM393211 DNM458742:DNM458747 DNM524278:DNM524283 DNM589814:DNM589819 DNM655350:DNM655355 DNM720886:DNM720891 DNM786422:DNM786427 DNM851958:DNM851963 DNM917494:DNM917499 DNM983030:DNM983035 DXI8:DXI13 DXI65526:DXI65531 DXI131062:DXI131067 DXI196598:DXI196603 DXI262134:DXI262139 DXI327670:DXI327675 DXI393206:DXI393211 DXI458742:DXI458747 DXI524278:DXI524283 DXI589814:DXI589819 DXI655350:DXI655355 DXI720886:DXI720891 DXI786422:DXI786427 DXI851958:DXI851963 DXI917494:DXI917499 DXI983030:DXI983035 EHE8:EHE13 EHE65526:EHE65531 EHE131062:EHE131067 EHE196598:EHE196603 EHE262134:EHE262139 EHE327670:EHE327675 EHE393206:EHE393211 EHE458742:EHE458747 EHE524278:EHE524283 EHE589814:EHE589819 EHE655350:EHE655355 EHE720886:EHE720891 EHE786422:EHE786427 EHE851958:EHE851963 EHE917494:EHE917499 EHE983030:EHE983035 ERA8:ERA13 ERA65526:ERA65531 ERA131062:ERA131067 ERA196598:ERA196603 ERA262134:ERA262139 ERA327670:ERA327675 ERA393206:ERA393211 ERA458742:ERA458747 ERA524278:ERA524283 ERA589814:ERA589819 ERA655350:ERA655355 ERA720886:ERA720891 ERA786422:ERA786427 ERA851958:ERA851963 ERA917494:ERA917499 ERA983030:ERA983035 FAW8:FAW13 FAW65526:FAW65531 FAW131062:FAW131067 FAW196598:FAW196603 FAW262134:FAW262139 FAW327670:FAW327675 FAW393206:FAW393211 FAW458742:FAW458747 FAW524278:FAW524283 FAW589814:FAW589819 FAW655350:FAW655355 FAW720886:FAW720891 FAW786422:FAW786427 FAW851958:FAW851963 FAW917494:FAW917499 FAW983030:FAW983035 FKS8:FKS13 FKS65526:FKS65531 FKS131062:FKS131067 FKS196598:FKS196603 FKS262134:FKS262139 FKS327670:FKS327675 FKS393206:FKS393211 FKS458742:FKS458747 FKS524278:FKS524283 FKS589814:FKS589819 FKS655350:FKS655355 FKS720886:FKS720891 FKS786422:FKS786427 FKS851958:FKS851963 FKS917494:FKS917499 FKS983030:FKS983035 FUO8:FUO13 FUO65526:FUO65531 FUO131062:FUO131067 FUO196598:FUO196603 FUO262134:FUO262139 FUO327670:FUO327675 FUO393206:FUO393211 FUO458742:FUO458747 FUO524278:FUO524283 FUO589814:FUO589819 FUO655350:FUO655355 FUO720886:FUO720891 FUO786422:FUO786427 FUO851958:FUO851963 FUO917494:FUO917499 FUO983030:FUO983035 GEK8:GEK13 GEK65526:GEK65531 GEK131062:GEK131067 GEK196598:GEK196603 GEK262134:GEK262139 GEK327670:GEK327675 GEK393206:GEK393211 GEK458742:GEK458747 GEK524278:GEK524283 GEK589814:GEK589819 GEK655350:GEK655355 GEK720886:GEK720891 GEK786422:GEK786427 GEK851958:GEK851963 GEK917494:GEK917499 GEK983030:GEK983035 GOG8:GOG13 GOG65526:GOG65531 GOG131062:GOG131067 GOG196598:GOG196603 GOG262134:GOG262139 GOG327670:GOG327675 GOG393206:GOG393211 GOG458742:GOG458747 GOG524278:GOG524283 GOG589814:GOG589819 GOG655350:GOG655355 GOG720886:GOG720891 GOG786422:GOG786427 GOG851958:GOG851963 GOG917494:GOG917499 GOG983030:GOG983035 GYC8:GYC13 GYC65526:GYC65531 GYC131062:GYC131067 GYC196598:GYC196603 GYC262134:GYC262139 GYC327670:GYC327675 GYC393206:GYC393211 GYC458742:GYC458747 GYC524278:GYC524283 GYC589814:GYC589819 GYC655350:GYC655355 GYC720886:GYC720891 GYC786422:GYC786427 GYC851958:GYC851963 GYC917494:GYC917499 GYC983030:GYC983035 HHY8:HHY13 HHY65526:HHY65531 HHY131062:HHY131067 HHY196598:HHY196603 HHY262134:HHY262139 HHY327670:HHY327675 HHY393206:HHY393211 HHY458742:HHY458747 HHY524278:HHY524283 HHY589814:HHY589819 HHY655350:HHY655355 HHY720886:HHY720891 HHY786422:HHY786427 HHY851958:HHY851963 HHY917494:HHY917499 HHY983030:HHY983035 HRU8:HRU13 HRU65526:HRU65531 HRU131062:HRU131067 HRU196598:HRU196603 HRU262134:HRU262139 HRU327670:HRU327675 HRU393206:HRU393211 HRU458742:HRU458747 HRU524278:HRU524283 HRU589814:HRU589819 HRU655350:HRU655355 HRU720886:HRU720891 HRU786422:HRU786427 HRU851958:HRU851963 HRU917494:HRU917499 HRU983030:HRU983035 IBQ8:IBQ13 IBQ65526:IBQ65531 IBQ131062:IBQ131067 IBQ196598:IBQ196603 IBQ262134:IBQ262139 IBQ327670:IBQ327675 IBQ393206:IBQ393211 IBQ458742:IBQ458747 IBQ524278:IBQ524283 IBQ589814:IBQ589819 IBQ655350:IBQ655355 IBQ720886:IBQ720891 IBQ786422:IBQ786427 IBQ851958:IBQ851963 IBQ917494:IBQ917499 IBQ983030:IBQ983035 ILM8:ILM13 ILM65526:ILM65531 ILM131062:ILM131067 ILM196598:ILM196603 ILM262134:ILM262139 ILM327670:ILM327675 ILM393206:ILM393211 ILM458742:ILM458747 ILM524278:ILM524283 ILM589814:ILM589819 ILM655350:ILM655355 ILM720886:ILM720891 ILM786422:ILM786427 ILM851958:ILM851963 ILM917494:ILM917499 ILM983030:ILM983035 IVI8:IVI13 IVI65526:IVI65531 IVI131062:IVI131067 IVI196598:IVI196603 IVI262134:IVI262139 IVI327670:IVI327675 IVI393206:IVI393211 IVI458742:IVI458747 IVI524278:IVI524283 IVI589814:IVI589819 IVI655350:IVI655355 IVI720886:IVI720891 IVI786422:IVI786427 IVI851958:IVI851963 IVI917494:IVI917499 IVI983030:IVI983035 JFE8:JFE13 JFE65526:JFE65531 JFE131062:JFE131067 JFE196598:JFE196603 JFE262134:JFE262139 JFE327670:JFE327675 JFE393206:JFE393211 JFE458742:JFE458747 JFE524278:JFE524283 JFE589814:JFE589819 JFE655350:JFE655355 JFE720886:JFE720891 JFE786422:JFE786427 JFE851958:JFE851963 JFE917494:JFE917499 JFE983030:JFE983035 JPA8:JPA13 JPA65526:JPA65531 JPA131062:JPA131067 JPA196598:JPA196603 JPA262134:JPA262139 JPA327670:JPA327675 JPA393206:JPA393211 JPA458742:JPA458747 JPA524278:JPA524283 JPA589814:JPA589819 JPA655350:JPA655355 JPA720886:JPA720891 JPA786422:JPA786427 JPA851958:JPA851963 JPA917494:JPA917499 JPA983030:JPA983035 JYW8:JYW13 JYW65526:JYW65531 JYW131062:JYW131067 JYW196598:JYW196603 JYW262134:JYW262139 JYW327670:JYW327675 JYW393206:JYW393211 JYW458742:JYW458747 JYW524278:JYW524283 JYW589814:JYW589819 JYW655350:JYW655355 JYW720886:JYW720891 JYW786422:JYW786427 JYW851958:JYW851963 JYW917494:JYW917499 JYW983030:JYW983035 KIS8:KIS13 KIS65526:KIS65531 KIS131062:KIS131067 KIS196598:KIS196603 KIS262134:KIS262139 KIS327670:KIS327675 KIS393206:KIS393211 KIS458742:KIS458747 KIS524278:KIS524283 KIS589814:KIS589819 KIS655350:KIS655355 KIS720886:KIS720891 KIS786422:KIS786427 KIS851958:KIS851963 KIS917494:KIS917499 KIS983030:KIS983035 KSO8:KSO13 KSO65526:KSO65531 KSO131062:KSO131067 KSO196598:KSO196603 KSO262134:KSO262139 KSO327670:KSO327675 KSO393206:KSO393211 KSO458742:KSO458747 KSO524278:KSO524283 KSO589814:KSO589819 KSO655350:KSO655355 KSO720886:KSO720891 KSO786422:KSO786427 KSO851958:KSO851963 KSO917494:KSO917499 KSO983030:KSO983035 LCK8:LCK13 LCK65526:LCK65531 LCK131062:LCK131067 LCK196598:LCK196603 LCK262134:LCK262139 LCK327670:LCK327675 LCK393206:LCK393211 LCK458742:LCK458747 LCK524278:LCK524283 LCK589814:LCK589819 LCK655350:LCK655355 LCK720886:LCK720891 LCK786422:LCK786427 LCK851958:LCK851963 LCK917494:LCK917499 LCK983030:LCK983035 LMG8:LMG13 LMG65526:LMG65531 LMG131062:LMG131067 LMG196598:LMG196603 LMG262134:LMG262139 LMG327670:LMG327675 LMG393206:LMG393211 LMG458742:LMG458747 LMG524278:LMG524283 LMG589814:LMG589819 LMG655350:LMG655355 LMG720886:LMG720891 LMG786422:LMG786427 LMG851958:LMG851963 LMG917494:LMG917499 LMG983030:LMG983035 LWC8:LWC13 LWC65526:LWC65531 LWC131062:LWC131067 LWC196598:LWC196603 LWC262134:LWC262139 LWC327670:LWC327675 LWC393206:LWC393211 LWC458742:LWC458747 LWC524278:LWC524283 LWC589814:LWC589819 LWC655350:LWC655355 LWC720886:LWC720891 LWC786422:LWC786427 LWC851958:LWC851963 LWC917494:LWC917499 LWC983030:LWC983035 MFY8:MFY13 MFY65526:MFY65531 MFY131062:MFY131067 MFY196598:MFY196603 MFY262134:MFY262139 MFY327670:MFY327675 MFY393206:MFY393211 MFY458742:MFY458747 MFY524278:MFY524283 MFY589814:MFY589819 MFY655350:MFY655355 MFY720886:MFY720891 MFY786422:MFY786427 MFY851958:MFY851963 MFY917494:MFY917499 MFY983030:MFY983035 MPU8:MPU13 MPU65526:MPU65531 MPU131062:MPU131067 MPU196598:MPU196603 MPU262134:MPU262139 MPU327670:MPU327675 MPU393206:MPU393211 MPU458742:MPU458747 MPU524278:MPU524283 MPU589814:MPU589819 MPU655350:MPU655355 MPU720886:MPU720891 MPU786422:MPU786427 MPU851958:MPU851963 MPU917494:MPU917499 MPU983030:MPU983035 MZQ8:MZQ13 MZQ65526:MZQ65531 MZQ131062:MZQ131067 MZQ196598:MZQ196603 MZQ262134:MZQ262139 MZQ327670:MZQ327675 MZQ393206:MZQ393211 MZQ458742:MZQ458747 MZQ524278:MZQ524283 MZQ589814:MZQ589819 MZQ655350:MZQ655355 MZQ720886:MZQ720891 MZQ786422:MZQ786427 MZQ851958:MZQ851963 MZQ917494:MZQ917499 MZQ983030:MZQ983035 NJM8:NJM13 NJM65526:NJM65531 NJM131062:NJM131067 NJM196598:NJM196603 NJM262134:NJM262139 NJM327670:NJM327675 NJM393206:NJM393211 NJM458742:NJM458747 NJM524278:NJM524283 NJM589814:NJM589819 NJM655350:NJM655355 NJM720886:NJM720891 NJM786422:NJM786427 NJM851958:NJM851963 NJM917494:NJM917499 NJM983030:NJM983035 NTI8:NTI13 NTI65526:NTI65531 NTI131062:NTI131067 NTI196598:NTI196603 NTI262134:NTI262139 NTI327670:NTI327675 NTI393206:NTI393211 NTI458742:NTI458747 NTI524278:NTI524283 NTI589814:NTI589819 NTI655350:NTI655355 NTI720886:NTI720891 NTI786422:NTI786427 NTI851958:NTI851963 NTI917494:NTI917499 NTI983030:NTI983035 ODE8:ODE13 ODE65526:ODE65531 ODE131062:ODE131067 ODE196598:ODE196603 ODE262134:ODE262139 ODE327670:ODE327675 ODE393206:ODE393211 ODE458742:ODE458747 ODE524278:ODE524283 ODE589814:ODE589819 ODE655350:ODE655355 ODE720886:ODE720891 ODE786422:ODE786427 ODE851958:ODE851963 ODE917494:ODE917499 ODE983030:ODE983035 ONA8:ONA13 ONA65526:ONA65531 ONA131062:ONA131067 ONA196598:ONA196603 ONA262134:ONA262139 ONA327670:ONA327675 ONA393206:ONA393211 ONA458742:ONA458747 ONA524278:ONA524283 ONA589814:ONA589819 ONA655350:ONA655355 ONA720886:ONA720891 ONA786422:ONA786427 ONA851958:ONA851963 ONA917494:ONA917499 ONA983030:ONA983035 OWW8:OWW13 OWW65526:OWW65531 OWW131062:OWW131067 OWW196598:OWW196603 OWW262134:OWW262139 OWW327670:OWW327675 OWW393206:OWW393211 OWW458742:OWW458747 OWW524278:OWW524283 OWW589814:OWW589819 OWW655350:OWW655355 OWW720886:OWW720891 OWW786422:OWW786427 OWW851958:OWW851963 OWW917494:OWW917499 OWW983030:OWW983035 PGS8:PGS13 PGS65526:PGS65531 PGS131062:PGS131067 PGS196598:PGS196603 PGS262134:PGS262139 PGS327670:PGS327675 PGS393206:PGS393211 PGS458742:PGS458747 PGS524278:PGS524283 PGS589814:PGS589819 PGS655350:PGS655355 PGS720886:PGS720891 PGS786422:PGS786427 PGS851958:PGS851963 PGS917494:PGS917499 PGS983030:PGS983035 PQO8:PQO13 PQO65526:PQO65531 PQO131062:PQO131067 PQO196598:PQO196603 PQO262134:PQO262139 PQO327670:PQO327675 PQO393206:PQO393211 PQO458742:PQO458747 PQO524278:PQO524283 PQO589814:PQO589819 PQO655350:PQO655355 PQO720886:PQO720891 PQO786422:PQO786427 PQO851958:PQO851963 PQO917494:PQO917499 PQO983030:PQO983035 QAK8:QAK13 QAK65526:QAK65531 QAK131062:QAK131067 QAK196598:QAK196603 QAK262134:QAK262139 QAK327670:QAK327675 QAK393206:QAK393211 QAK458742:QAK458747 QAK524278:QAK524283 QAK589814:QAK589819 QAK655350:QAK655355 QAK720886:QAK720891 QAK786422:QAK786427 QAK851958:QAK851963 QAK917494:QAK917499 QAK983030:QAK983035 QKG8:QKG13 QKG65526:QKG65531 QKG131062:QKG131067 QKG196598:QKG196603 QKG262134:QKG262139 QKG327670:QKG327675 QKG393206:QKG393211 QKG458742:QKG458747 QKG524278:QKG524283 QKG589814:QKG589819 QKG655350:QKG655355 QKG720886:QKG720891 QKG786422:QKG786427 QKG851958:QKG851963 QKG917494:QKG917499 QKG983030:QKG983035 QUC8:QUC13 QUC65526:QUC65531 QUC131062:QUC131067 QUC196598:QUC196603 QUC262134:QUC262139 QUC327670:QUC327675 QUC393206:QUC393211 QUC458742:QUC458747 QUC524278:QUC524283 QUC589814:QUC589819 QUC655350:QUC655355 QUC720886:QUC720891 QUC786422:QUC786427 QUC851958:QUC851963 QUC917494:QUC917499 QUC983030:QUC983035 RDY8:RDY13 RDY65526:RDY65531 RDY131062:RDY131067 RDY196598:RDY196603 RDY262134:RDY262139 RDY327670:RDY327675 RDY393206:RDY393211 RDY458742:RDY458747 RDY524278:RDY524283 RDY589814:RDY589819 RDY655350:RDY655355 RDY720886:RDY720891 RDY786422:RDY786427 RDY851958:RDY851963 RDY917494:RDY917499 RDY983030:RDY983035 RNU8:RNU13 RNU65526:RNU65531 RNU131062:RNU131067 RNU196598:RNU196603 RNU262134:RNU262139 RNU327670:RNU327675 RNU393206:RNU393211 RNU458742:RNU458747 RNU524278:RNU524283 RNU589814:RNU589819 RNU655350:RNU655355 RNU720886:RNU720891 RNU786422:RNU786427 RNU851958:RNU851963 RNU917494:RNU917499 RNU983030:RNU983035 RXQ8:RXQ13 RXQ65526:RXQ65531 RXQ131062:RXQ131067 RXQ196598:RXQ196603 RXQ262134:RXQ262139 RXQ327670:RXQ327675 RXQ393206:RXQ393211 RXQ458742:RXQ458747 RXQ524278:RXQ524283 RXQ589814:RXQ589819 RXQ655350:RXQ655355 RXQ720886:RXQ720891 RXQ786422:RXQ786427 RXQ851958:RXQ851963 RXQ917494:RXQ917499 RXQ983030:RXQ983035 SHM8:SHM13 SHM65526:SHM65531 SHM131062:SHM131067 SHM196598:SHM196603 SHM262134:SHM262139 SHM327670:SHM327675 SHM393206:SHM393211 SHM458742:SHM458747 SHM524278:SHM524283 SHM589814:SHM589819 SHM655350:SHM655355 SHM720886:SHM720891 SHM786422:SHM786427 SHM851958:SHM851963 SHM917494:SHM917499 SHM983030:SHM983035 SRI8:SRI13 SRI65526:SRI65531 SRI131062:SRI131067 SRI196598:SRI196603 SRI262134:SRI262139 SRI327670:SRI327675 SRI393206:SRI393211 SRI458742:SRI458747 SRI524278:SRI524283 SRI589814:SRI589819 SRI655350:SRI655355 SRI720886:SRI720891 SRI786422:SRI786427 SRI851958:SRI851963 SRI917494:SRI917499 SRI983030:SRI983035 TBE8:TBE13 TBE65526:TBE65531 TBE131062:TBE131067 TBE196598:TBE196603 TBE262134:TBE262139 TBE327670:TBE327675 TBE393206:TBE393211 TBE458742:TBE458747 TBE524278:TBE524283 TBE589814:TBE589819 TBE655350:TBE655355 TBE720886:TBE720891 TBE786422:TBE786427 TBE851958:TBE851963 TBE917494:TBE917499 TBE983030:TBE983035 TLA8:TLA13 TLA65526:TLA65531 TLA131062:TLA131067 TLA196598:TLA196603 TLA262134:TLA262139 TLA327670:TLA327675 TLA393206:TLA393211 TLA458742:TLA458747 TLA524278:TLA524283 TLA589814:TLA589819 TLA655350:TLA655355 TLA720886:TLA720891 TLA786422:TLA786427 TLA851958:TLA851963 TLA917494:TLA917499 TLA983030:TLA983035 TUW8:TUW13 TUW65526:TUW65531 TUW131062:TUW131067 TUW196598:TUW196603 TUW262134:TUW262139 TUW327670:TUW327675 TUW393206:TUW393211 TUW458742:TUW458747 TUW524278:TUW524283 TUW589814:TUW589819 TUW655350:TUW655355 TUW720886:TUW720891 TUW786422:TUW786427 TUW851958:TUW851963 TUW917494:TUW917499 TUW983030:TUW983035 UES8:UES13 UES65526:UES65531 UES131062:UES131067 UES196598:UES196603 UES262134:UES262139 UES327670:UES327675 UES393206:UES393211 UES458742:UES458747 UES524278:UES524283 UES589814:UES589819 UES655350:UES655355 UES720886:UES720891 UES786422:UES786427 UES851958:UES851963 UES917494:UES917499 UES983030:UES983035 UOO8:UOO13 UOO65526:UOO65531 UOO131062:UOO131067 UOO196598:UOO196603 UOO262134:UOO262139 UOO327670:UOO327675 UOO393206:UOO393211 UOO458742:UOO458747 UOO524278:UOO524283 UOO589814:UOO589819 UOO655350:UOO655355 UOO720886:UOO720891 UOO786422:UOO786427 UOO851958:UOO851963 UOO917494:UOO917499 UOO983030:UOO983035 UYK8:UYK13 UYK65526:UYK65531 UYK131062:UYK131067 UYK196598:UYK196603 UYK262134:UYK262139 UYK327670:UYK327675 UYK393206:UYK393211 UYK458742:UYK458747 UYK524278:UYK524283 UYK589814:UYK589819 UYK655350:UYK655355 UYK720886:UYK720891 UYK786422:UYK786427 UYK851958:UYK851963 UYK917494:UYK917499 UYK983030:UYK983035 VIG8:VIG13 VIG65526:VIG65531 VIG131062:VIG131067 VIG196598:VIG196603 VIG262134:VIG262139 VIG327670:VIG327675 VIG393206:VIG393211 VIG458742:VIG458747 VIG524278:VIG524283 VIG589814:VIG589819 VIG655350:VIG655355 VIG720886:VIG720891 VIG786422:VIG786427 VIG851958:VIG851963 VIG917494:VIG917499 VIG983030:VIG983035 VSC8:VSC13 VSC65526:VSC65531 VSC131062:VSC131067 VSC196598:VSC196603 VSC262134:VSC262139 VSC327670:VSC327675 VSC393206:VSC393211 VSC458742:VSC458747 VSC524278:VSC524283 VSC589814:VSC589819 VSC655350:VSC655355 VSC720886:VSC720891 VSC786422:VSC786427 VSC851958:VSC851963 VSC917494:VSC917499 VSC983030:VSC983035 WBY8:WBY13 WBY65526:WBY65531 WBY131062:WBY131067 WBY196598:WBY196603 WBY262134:WBY262139 WBY327670:WBY327675 WBY393206:WBY393211 WBY458742:WBY458747 WBY524278:WBY524283 WBY589814:WBY589819 WBY655350:WBY655355 WBY720886:WBY720891 WBY786422:WBY786427 WBY851958:WBY851963 WBY917494:WBY917499 WBY983030:WBY983035 WLU8:WLU13 WLU65526:WLU65531 WLU131062:WLU131067 WLU196598:WLU196603 WLU262134:WLU262139 WLU327670:WLU327675 WLU393206:WLU393211 WLU458742:WLU458747 WLU524278:WLU524283 WLU589814:WLU589819 WLU655350:WLU655355 WLU720886:WLU720891 WLU786422:WLU786427 WLU851958:WLU851963 WLU917494:WLU917499 WLU983030:WLU983035 WVQ8:WVQ13 WVQ65526:WVQ65531 WVQ131062:WVQ131067 WVQ196598:WVQ196603 WVQ262134:WVQ262139 WVQ327670:WVQ327675 WVQ393206:WVQ393211 WVQ458742:WVQ458747 WVQ524278:WVQ524283 WVQ589814:WVQ589819 WVQ655350:WVQ655355 WVQ720886:WVQ720891 WVQ786422:WVQ786427 WVQ851958:WVQ851963 WVQ917494:WVQ917499 WVQ983030:WVQ983035" xr:uid="{00000000-0002-0000-1400-000001000000}">
      <formula1>"正确,错误"</formula1>
    </dataValidation>
  </dataValidations>
  <hyperlinks>
    <hyperlink ref="A1" location="UAT测试案例清单!A1" display="返回" xr:uid="{00000000-0004-0000-14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J34"/>
  <sheetViews>
    <sheetView workbookViewId="0"/>
  </sheetViews>
  <sheetFormatPr defaultColWidth="9" defaultRowHeight="12" x14ac:dyDescent="0.25"/>
  <cols>
    <col min="1" max="1" width="6.59765625" style="1" customWidth="1"/>
    <col min="2" max="2" width="19.69921875" style="1" customWidth="1"/>
    <col min="3" max="3" width="27.09765625" style="1" customWidth="1"/>
    <col min="4" max="4" width="46.3984375" style="1" customWidth="1"/>
    <col min="5" max="5" width="31"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7.09765625" style="1" customWidth="1"/>
    <col min="261" max="261" width="46.3984375" style="1" customWidth="1"/>
    <col min="262" max="262" width="31"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7.09765625" style="1" customWidth="1"/>
    <col min="517" max="517" width="46.3984375" style="1" customWidth="1"/>
    <col min="518" max="518" width="31"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7.09765625" style="1" customWidth="1"/>
    <col min="773" max="773" width="46.3984375" style="1" customWidth="1"/>
    <col min="774" max="774" width="31"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7.09765625" style="1" customWidth="1"/>
    <col min="1029" max="1029" width="46.3984375" style="1" customWidth="1"/>
    <col min="1030" max="1030" width="31"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7.09765625" style="1" customWidth="1"/>
    <col min="1285" max="1285" width="46.3984375" style="1" customWidth="1"/>
    <col min="1286" max="1286" width="31"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7.09765625" style="1" customWidth="1"/>
    <col min="1541" max="1541" width="46.3984375" style="1" customWidth="1"/>
    <col min="1542" max="1542" width="31"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7.09765625" style="1" customWidth="1"/>
    <col min="1797" max="1797" width="46.3984375" style="1" customWidth="1"/>
    <col min="1798" max="1798" width="31"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7.09765625" style="1" customWidth="1"/>
    <col min="2053" max="2053" width="46.3984375" style="1" customWidth="1"/>
    <col min="2054" max="2054" width="31"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7.09765625" style="1" customWidth="1"/>
    <col min="2309" max="2309" width="46.3984375" style="1" customWidth="1"/>
    <col min="2310" max="2310" width="31"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7.09765625" style="1" customWidth="1"/>
    <col min="2565" max="2565" width="46.3984375" style="1" customWidth="1"/>
    <col min="2566" max="2566" width="31"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7.09765625" style="1" customWidth="1"/>
    <col min="2821" max="2821" width="46.3984375" style="1" customWidth="1"/>
    <col min="2822" max="2822" width="31"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7.09765625" style="1" customWidth="1"/>
    <col min="3077" max="3077" width="46.3984375" style="1" customWidth="1"/>
    <col min="3078" max="3078" width="31"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7.09765625" style="1" customWidth="1"/>
    <col min="3333" max="3333" width="46.3984375" style="1" customWidth="1"/>
    <col min="3334" max="3334" width="31"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7.09765625" style="1" customWidth="1"/>
    <col min="3589" max="3589" width="46.3984375" style="1" customWidth="1"/>
    <col min="3590" max="3590" width="31"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7.09765625" style="1" customWidth="1"/>
    <col min="3845" max="3845" width="46.3984375" style="1" customWidth="1"/>
    <col min="3846" max="3846" width="31"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7.09765625" style="1" customWidth="1"/>
    <col min="4101" max="4101" width="46.3984375" style="1" customWidth="1"/>
    <col min="4102" max="4102" width="31"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7.09765625" style="1" customWidth="1"/>
    <col min="4357" max="4357" width="46.3984375" style="1" customWidth="1"/>
    <col min="4358" max="4358" width="31"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7.09765625" style="1" customWidth="1"/>
    <col min="4613" max="4613" width="46.3984375" style="1" customWidth="1"/>
    <col min="4614" max="4614" width="31"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7.09765625" style="1" customWidth="1"/>
    <col min="4869" max="4869" width="46.3984375" style="1" customWidth="1"/>
    <col min="4870" max="4870" width="31"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7.09765625" style="1" customWidth="1"/>
    <col min="5125" max="5125" width="46.3984375" style="1" customWidth="1"/>
    <col min="5126" max="5126" width="31"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7.09765625" style="1" customWidth="1"/>
    <col min="5381" max="5381" width="46.3984375" style="1" customWidth="1"/>
    <col min="5382" max="5382" width="31"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7.09765625" style="1" customWidth="1"/>
    <col min="5637" max="5637" width="46.3984375" style="1" customWidth="1"/>
    <col min="5638" max="5638" width="31"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7.09765625" style="1" customWidth="1"/>
    <col min="5893" max="5893" width="46.3984375" style="1" customWidth="1"/>
    <col min="5894" max="5894" width="31"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7.09765625" style="1" customWidth="1"/>
    <col min="6149" max="6149" width="46.3984375" style="1" customWidth="1"/>
    <col min="6150" max="6150" width="31"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7.09765625" style="1" customWidth="1"/>
    <col min="6405" max="6405" width="46.3984375" style="1" customWidth="1"/>
    <col min="6406" max="6406" width="31"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7.09765625" style="1" customWidth="1"/>
    <col min="6661" max="6661" width="46.3984375" style="1" customWidth="1"/>
    <col min="6662" max="6662" width="31"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7.09765625" style="1" customWidth="1"/>
    <col min="6917" max="6917" width="46.3984375" style="1" customWidth="1"/>
    <col min="6918" max="6918" width="31"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7.09765625" style="1" customWidth="1"/>
    <col min="7173" max="7173" width="46.3984375" style="1" customWidth="1"/>
    <col min="7174" max="7174" width="31"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7.09765625" style="1" customWidth="1"/>
    <col min="7429" max="7429" width="46.3984375" style="1" customWidth="1"/>
    <col min="7430" max="7430" width="31"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7.09765625" style="1" customWidth="1"/>
    <col min="7685" max="7685" width="46.3984375" style="1" customWidth="1"/>
    <col min="7686" max="7686" width="31"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7.09765625" style="1" customWidth="1"/>
    <col min="7941" max="7941" width="46.3984375" style="1" customWidth="1"/>
    <col min="7942" max="7942" width="31"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7.09765625" style="1" customWidth="1"/>
    <col min="8197" max="8197" width="46.3984375" style="1" customWidth="1"/>
    <col min="8198" max="8198" width="31"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7.09765625" style="1" customWidth="1"/>
    <col min="8453" max="8453" width="46.3984375" style="1" customWidth="1"/>
    <col min="8454" max="8454" width="31"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7.09765625" style="1" customWidth="1"/>
    <col min="8709" max="8709" width="46.3984375" style="1" customWidth="1"/>
    <col min="8710" max="8710" width="31"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7.09765625" style="1" customWidth="1"/>
    <col min="8965" max="8965" width="46.3984375" style="1" customWidth="1"/>
    <col min="8966" max="8966" width="31"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7.09765625" style="1" customWidth="1"/>
    <col min="9221" max="9221" width="46.3984375" style="1" customWidth="1"/>
    <col min="9222" max="9222" width="31"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7.09765625" style="1" customWidth="1"/>
    <col min="9477" max="9477" width="46.3984375" style="1" customWidth="1"/>
    <col min="9478" max="9478" width="31"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7.09765625" style="1" customWidth="1"/>
    <col min="9733" max="9733" width="46.3984375" style="1" customWidth="1"/>
    <col min="9734" max="9734" width="31"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7.09765625" style="1" customWidth="1"/>
    <col min="9989" max="9989" width="46.3984375" style="1" customWidth="1"/>
    <col min="9990" max="9990" width="31"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7.09765625" style="1" customWidth="1"/>
    <col min="10245" max="10245" width="46.3984375" style="1" customWidth="1"/>
    <col min="10246" max="10246" width="31"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7.09765625" style="1" customWidth="1"/>
    <col min="10501" max="10501" width="46.3984375" style="1" customWidth="1"/>
    <col min="10502" max="10502" width="31"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7.09765625" style="1" customWidth="1"/>
    <col min="10757" max="10757" width="46.3984375" style="1" customWidth="1"/>
    <col min="10758" max="10758" width="31"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7.09765625" style="1" customWidth="1"/>
    <col min="11013" max="11013" width="46.3984375" style="1" customWidth="1"/>
    <col min="11014" max="11014" width="31"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7.09765625" style="1" customWidth="1"/>
    <col min="11269" max="11269" width="46.3984375" style="1" customWidth="1"/>
    <col min="11270" max="11270" width="31"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7.09765625" style="1" customWidth="1"/>
    <col min="11525" max="11525" width="46.3984375" style="1" customWidth="1"/>
    <col min="11526" max="11526" width="31"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7.09765625" style="1" customWidth="1"/>
    <col min="11781" max="11781" width="46.3984375" style="1" customWidth="1"/>
    <col min="11782" max="11782" width="31"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7.09765625" style="1" customWidth="1"/>
    <col min="12037" max="12037" width="46.3984375" style="1" customWidth="1"/>
    <col min="12038" max="12038" width="31"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7.09765625" style="1" customWidth="1"/>
    <col min="12293" max="12293" width="46.3984375" style="1" customWidth="1"/>
    <col min="12294" max="12294" width="31"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7.09765625" style="1" customWidth="1"/>
    <col min="12549" max="12549" width="46.3984375" style="1" customWidth="1"/>
    <col min="12550" max="12550" width="31"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7.09765625" style="1" customWidth="1"/>
    <col min="12805" max="12805" width="46.3984375" style="1" customWidth="1"/>
    <col min="12806" max="12806" width="31"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7.09765625" style="1" customWidth="1"/>
    <col min="13061" max="13061" width="46.3984375" style="1" customWidth="1"/>
    <col min="13062" max="13062" width="31"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7.09765625" style="1" customWidth="1"/>
    <col min="13317" max="13317" width="46.3984375" style="1" customWidth="1"/>
    <col min="13318" max="13318" width="31"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7.09765625" style="1" customWidth="1"/>
    <col min="13573" max="13573" width="46.3984375" style="1" customWidth="1"/>
    <col min="13574" max="13574" width="31"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7.09765625" style="1" customWidth="1"/>
    <col min="13829" max="13829" width="46.3984375" style="1" customWidth="1"/>
    <col min="13830" max="13830" width="31"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7.09765625" style="1" customWidth="1"/>
    <col min="14085" max="14085" width="46.3984375" style="1" customWidth="1"/>
    <col min="14086" max="14086" width="31"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7.09765625" style="1" customWidth="1"/>
    <col min="14341" max="14341" width="46.3984375" style="1" customWidth="1"/>
    <col min="14342" max="14342" width="31"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7.09765625" style="1" customWidth="1"/>
    <col min="14597" max="14597" width="46.3984375" style="1" customWidth="1"/>
    <col min="14598" max="14598" width="31"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7.09765625" style="1" customWidth="1"/>
    <col min="14853" max="14853" width="46.3984375" style="1" customWidth="1"/>
    <col min="14854" max="14854" width="31"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7.09765625" style="1" customWidth="1"/>
    <col min="15109" max="15109" width="46.3984375" style="1" customWidth="1"/>
    <col min="15110" max="15110" width="31"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7.09765625" style="1" customWidth="1"/>
    <col min="15365" max="15365" width="46.3984375" style="1" customWidth="1"/>
    <col min="15366" max="15366" width="31"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7.09765625" style="1" customWidth="1"/>
    <col min="15621" max="15621" width="46.3984375" style="1" customWidth="1"/>
    <col min="15622" max="15622" width="31"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7.09765625" style="1" customWidth="1"/>
    <col min="15877" max="15877" width="46.3984375" style="1" customWidth="1"/>
    <col min="15878" max="15878" width="31"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7.09765625" style="1" customWidth="1"/>
    <col min="16133" max="16133" width="46.3984375" style="1" customWidth="1"/>
    <col min="16134" max="16134" width="31"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25.05" customHeight="1" x14ac:dyDescent="0.25">
      <c r="B3" s="5" t="s">
        <v>88</v>
      </c>
      <c r="C3" s="5" t="s">
        <v>37</v>
      </c>
      <c r="D3" s="5" t="s">
        <v>38</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27.8" customHeight="1" x14ac:dyDescent="0.25">
      <c r="B8" s="7" t="s">
        <v>283</v>
      </c>
      <c r="C8" s="5" t="s">
        <v>284</v>
      </c>
      <c r="D8" s="8" t="s">
        <v>303</v>
      </c>
      <c r="E8" s="5"/>
      <c r="F8" s="5"/>
      <c r="G8" s="7"/>
      <c r="H8" s="7"/>
      <c r="I8" s="11"/>
      <c r="J8" s="7"/>
    </row>
    <row r="9" spans="1:10" ht="48" customHeight="1" x14ac:dyDescent="0.25">
      <c r="B9" s="7" t="s">
        <v>24</v>
      </c>
      <c r="C9" s="5" t="s">
        <v>287</v>
      </c>
      <c r="D9" s="8" t="s">
        <v>288</v>
      </c>
      <c r="E9" s="5"/>
      <c r="F9" s="5"/>
      <c r="G9" s="7"/>
      <c r="H9" s="7"/>
      <c r="I9" s="11"/>
      <c r="J9" s="7"/>
    </row>
    <row r="10" spans="1:10" ht="78.45" customHeight="1" x14ac:dyDescent="0.25">
      <c r="B10" s="7" t="s">
        <v>289</v>
      </c>
      <c r="C10" s="7" t="s">
        <v>290</v>
      </c>
      <c r="D10" s="8" t="s">
        <v>291</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9" x14ac:dyDescent="0.25">
      <c r="B17" s="4" t="s">
        <v>119</v>
      </c>
      <c r="C17" s="4" t="s">
        <v>120</v>
      </c>
      <c r="D17" s="4" t="s">
        <v>121</v>
      </c>
      <c r="I17" s="26"/>
    </row>
    <row r="18" spans="2:9" x14ac:dyDescent="0.25">
      <c r="B18" s="7" t="s">
        <v>122</v>
      </c>
      <c r="C18" s="7"/>
      <c r="D18" s="7"/>
      <c r="I18" s="26"/>
    </row>
    <row r="19" spans="2:9" x14ac:dyDescent="0.25">
      <c r="I19" s="26"/>
    </row>
    <row r="21" spans="2:9" ht="14.4" x14ac:dyDescent="0.25">
      <c r="B21" s="90" t="s">
        <v>292</v>
      </c>
      <c r="C21" s="91"/>
      <c r="D21" s="91"/>
    </row>
    <row r="22" spans="2:9" ht="23.55" customHeight="1" x14ac:dyDescent="0.15">
      <c r="B22" s="32"/>
      <c r="C22" s="33"/>
      <c r="D22" s="33"/>
      <c r="E22" s="33"/>
      <c r="F22" s="33"/>
    </row>
    <row r="23" spans="2:9" ht="40.200000000000003" customHeight="1" x14ac:dyDescent="0.25">
      <c r="B23" s="88" t="s">
        <v>304</v>
      </c>
      <c r="C23" s="89"/>
      <c r="D23" s="89"/>
      <c r="E23" s="89"/>
      <c r="F23" s="89"/>
    </row>
    <row r="24" spans="2:9" x14ac:dyDescent="0.15">
      <c r="B24" s="34"/>
      <c r="C24" s="35" t="s">
        <v>295</v>
      </c>
      <c r="D24" s="36" t="s">
        <v>296</v>
      </c>
      <c r="E24" s="36" t="s">
        <v>305</v>
      </c>
      <c r="F24" s="37" t="s">
        <v>3</v>
      </c>
    </row>
    <row r="25" spans="2:9" x14ac:dyDescent="0.15">
      <c r="B25" s="35" t="s">
        <v>306</v>
      </c>
      <c r="C25" s="34">
        <v>10000</v>
      </c>
      <c r="D25" s="34">
        <v>1</v>
      </c>
      <c r="E25" s="34">
        <f>ROUND(C25/21.75*D25,2)</f>
        <v>459.77</v>
      </c>
      <c r="F25" s="38">
        <v>1</v>
      </c>
    </row>
    <row r="26" spans="2:9" x14ac:dyDescent="0.15">
      <c r="B26" s="35" t="s">
        <v>307</v>
      </c>
      <c r="C26" s="39">
        <v>12000</v>
      </c>
      <c r="D26" s="34">
        <v>22</v>
      </c>
      <c r="E26" s="34">
        <f>ROUND(C26/21.75*(21.75-D25),2)</f>
        <v>11448.28</v>
      </c>
      <c r="F26" s="38" t="s">
        <v>308</v>
      </c>
    </row>
    <row r="27" spans="2:9" x14ac:dyDescent="0.25">
      <c r="B27" s="40" t="s">
        <v>309</v>
      </c>
      <c r="C27" s="41"/>
      <c r="D27" s="42"/>
      <c r="E27" s="40">
        <f>E25+E26</f>
        <v>11908.05</v>
      </c>
      <c r="F27" s="43"/>
    </row>
    <row r="28" spans="2:9" x14ac:dyDescent="0.15">
      <c r="B28" s="44"/>
      <c r="C28" s="44"/>
      <c r="D28" s="45"/>
      <c r="E28" s="45"/>
      <c r="F28" s="46"/>
    </row>
    <row r="29" spans="2:9" ht="45" customHeight="1" x14ac:dyDescent="0.25">
      <c r="B29" s="88" t="s">
        <v>310</v>
      </c>
      <c r="C29" s="89"/>
      <c r="D29" s="89"/>
      <c r="E29" s="89"/>
      <c r="F29" s="89"/>
    </row>
    <row r="30" spans="2:9" ht="4.95" customHeight="1" x14ac:dyDescent="0.15">
      <c r="B30" s="44"/>
      <c r="C30" s="44"/>
      <c r="D30" s="45"/>
      <c r="E30" s="45"/>
      <c r="F30" s="46"/>
    </row>
    <row r="31" spans="2:9" x14ac:dyDescent="0.15">
      <c r="B31" s="34"/>
      <c r="C31" s="35" t="s">
        <v>295</v>
      </c>
      <c r="D31" s="36" t="s">
        <v>296</v>
      </c>
      <c r="E31" s="36" t="s">
        <v>305</v>
      </c>
      <c r="F31" s="37" t="s">
        <v>3</v>
      </c>
    </row>
    <row r="32" spans="2:9" x14ac:dyDescent="0.15">
      <c r="B32" s="35" t="s">
        <v>306</v>
      </c>
      <c r="C32" s="34">
        <v>10000</v>
      </c>
      <c r="D32" s="34">
        <v>14</v>
      </c>
      <c r="E32" s="34">
        <f>ROUND(C32/21.75*(21.75-D33),2)</f>
        <v>5862.07</v>
      </c>
      <c r="F32" s="38" t="s">
        <v>311</v>
      </c>
    </row>
    <row r="33" spans="2:6" x14ac:dyDescent="0.15">
      <c r="B33" s="35" t="s">
        <v>307</v>
      </c>
      <c r="C33" s="39">
        <v>12000</v>
      </c>
      <c r="D33" s="34">
        <v>9</v>
      </c>
      <c r="E33" s="47">
        <f>ROUND(C33/21.75*D33,2)</f>
        <v>4965.5200000000004</v>
      </c>
      <c r="F33" s="38">
        <v>9</v>
      </c>
    </row>
    <row r="34" spans="2:6" x14ac:dyDescent="0.15">
      <c r="B34" s="35" t="s">
        <v>309</v>
      </c>
      <c r="C34" s="34"/>
      <c r="D34" s="48"/>
      <c r="E34" s="35">
        <f>E32+E33</f>
        <v>10827.59</v>
      </c>
      <c r="F34" s="49"/>
    </row>
  </sheetData>
  <mergeCells count="6">
    <mergeCell ref="B29:F29"/>
    <mergeCell ref="B1:E1"/>
    <mergeCell ref="B6:J6"/>
    <mergeCell ref="B16:D16"/>
    <mergeCell ref="B21:D21"/>
    <mergeCell ref="B23:F23"/>
  </mergeCells>
  <phoneticPr fontId="29" type="noConversion"/>
  <dataValidations count="2">
    <dataValidation type="list" allowBlank="1" showInputMessage="1" showErrorMessage="1" sqref="E3" xr:uid="{00000000-0002-0000-1500-000000000000}">
      <formula1>"通过,部分通过,不通过"</formula1>
    </dataValidation>
    <dataValidation type="list" allowBlank="1" showInputMessage="1" showErrorMessage="1" sqref="H8:H14 H65530:H65536 H131066:H131072 H196602:H196608 H262138:H262144 H327674:H327680 H393210:H393216 H458746:H458752 H524282:H524288 H589818:H589824 H655354:H655360 H720890:H720896 H786426:H786432 H851962:H851968 H917498:H917504 H983034:H983040 JE8:JE14 JE65530:JE65536 JE131066:JE131072 JE196602:JE196608 JE262138:JE262144 JE327674:JE327680 JE393210:JE393216 JE458746:JE458752 JE524282:JE524288 JE589818:JE589824 JE655354:JE655360 JE720890:JE720896 JE786426:JE786432 JE851962:JE851968 JE917498:JE917504 JE983034:JE983040 TA8:TA14 TA65530:TA65536 TA131066:TA131072 TA196602:TA196608 TA262138:TA262144 TA327674:TA327680 TA393210:TA393216 TA458746:TA458752 TA524282:TA524288 TA589818:TA589824 TA655354:TA655360 TA720890:TA720896 TA786426:TA786432 TA851962:TA851968 TA917498:TA917504 TA983034:TA983040 ACW8:ACW14 ACW65530:ACW65536 ACW131066:ACW131072 ACW196602:ACW196608 ACW262138:ACW262144 ACW327674:ACW327680 ACW393210:ACW393216 ACW458746:ACW458752 ACW524282:ACW524288 ACW589818:ACW589824 ACW655354:ACW655360 ACW720890:ACW720896 ACW786426:ACW786432 ACW851962:ACW851968 ACW917498:ACW917504 ACW983034:ACW983040 AMS8:AMS14 AMS65530:AMS65536 AMS131066:AMS131072 AMS196602:AMS196608 AMS262138:AMS262144 AMS327674:AMS327680 AMS393210:AMS393216 AMS458746:AMS458752 AMS524282:AMS524288 AMS589818:AMS589824 AMS655354:AMS655360 AMS720890:AMS720896 AMS786426:AMS786432 AMS851962:AMS851968 AMS917498:AMS917504 AMS983034:AMS983040 AWO8:AWO14 AWO65530:AWO65536 AWO131066:AWO131072 AWO196602:AWO196608 AWO262138:AWO262144 AWO327674:AWO327680 AWO393210:AWO393216 AWO458746:AWO458752 AWO524282:AWO524288 AWO589818:AWO589824 AWO655354:AWO655360 AWO720890:AWO720896 AWO786426:AWO786432 AWO851962:AWO851968 AWO917498:AWO917504 AWO983034:AWO983040 BGK8:BGK14 BGK65530:BGK65536 BGK131066:BGK131072 BGK196602:BGK196608 BGK262138:BGK262144 BGK327674:BGK327680 BGK393210:BGK393216 BGK458746:BGK458752 BGK524282:BGK524288 BGK589818:BGK589824 BGK655354:BGK655360 BGK720890:BGK720896 BGK786426:BGK786432 BGK851962:BGK851968 BGK917498:BGK917504 BGK983034:BGK983040 BQG8:BQG14 BQG65530:BQG65536 BQG131066:BQG131072 BQG196602:BQG196608 BQG262138:BQG262144 BQG327674:BQG327680 BQG393210:BQG393216 BQG458746:BQG458752 BQG524282:BQG524288 BQG589818:BQG589824 BQG655354:BQG655360 BQG720890:BQG720896 BQG786426:BQG786432 BQG851962:BQG851968 BQG917498:BQG917504 BQG983034:BQG983040 CAC8:CAC14 CAC65530:CAC65536 CAC131066:CAC131072 CAC196602:CAC196608 CAC262138:CAC262144 CAC327674:CAC327680 CAC393210:CAC393216 CAC458746:CAC458752 CAC524282:CAC524288 CAC589818:CAC589824 CAC655354:CAC655360 CAC720890:CAC720896 CAC786426:CAC786432 CAC851962:CAC851968 CAC917498:CAC917504 CAC983034:CAC983040 CJY8:CJY14 CJY65530:CJY65536 CJY131066:CJY131072 CJY196602:CJY196608 CJY262138:CJY262144 CJY327674:CJY327680 CJY393210:CJY393216 CJY458746:CJY458752 CJY524282:CJY524288 CJY589818:CJY589824 CJY655354:CJY655360 CJY720890:CJY720896 CJY786426:CJY786432 CJY851962:CJY851968 CJY917498:CJY917504 CJY983034:CJY983040 CTU8:CTU14 CTU65530:CTU65536 CTU131066:CTU131072 CTU196602:CTU196608 CTU262138:CTU262144 CTU327674:CTU327680 CTU393210:CTU393216 CTU458746:CTU458752 CTU524282:CTU524288 CTU589818:CTU589824 CTU655354:CTU655360 CTU720890:CTU720896 CTU786426:CTU786432 CTU851962:CTU851968 CTU917498:CTU917504 CTU983034:CTU983040 DDQ8:DDQ14 DDQ65530:DDQ65536 DDQ131066:DDQ131072 DDQ196602:DDQ196608 DDQ262138:DDQ262144 DDQ327674:DDQ327680 DDQ393210:DDQ393216 DDQ458746:DDQ458752 DDQ524282:DDQ524288 DDQ589818:DDQ589824 DDQ655354:DDQ655360 DDQ720890:DDQ720896 DDQ786426:DDQ786432 DDQ851962:DDQ851968 DDQ917498:DDQ917504 DDQ983034:DDQ983040 DNM8:DNM14 DNM65530:DNM65536 DNM131066:DNM131072 DNM196602:DNM196608 DNM262138:DNM262144 DNM327674:DNM327680 DNM393210:DNM393216 DNM458746:DNM458752 DNM524282:DNM524288 DNM589818:DNM589824 DNM655354:DNM655360 DNM720890:DNM720896 DNM786426:DNM786432 DNM851962:DNM851968 DNM917498:DNM917504 DNM983034:DNM983040 DXI8:DXI14 DXI65530:DXI65536 DXI131066:DXI131072 DXI196602:DXI196608 DXI262138:DXI262144 DXI327674:DXI327680 DXI393210:DXI393216 DXI458746:DXI458752 DXI524282:DXI524288 DXI589818:DXI589824 DXI655354:DXI655360 DXI720890:DXI720896 DXI786426:DXI786432 DXI851962:DXI851968 DXI917498:DXI917504 DXI983034:DXI983040 EHE8:EHE14 EHE65530:EHE65536 EHE131066:EHE131072 EHE196602:EHE196608 EHE262138:EHE262144 EHE327674:EHE327680 EHE393210:EHE393216 EHE458746:EHE458752 EHE524282:EHE524288 EHE589818:EHE589824 EHE655354:EHE655360 EHE720890:EHE720896 EHE786426:EHE786432 EHE851962:EHE851968 EHE917498:EHE917504 EHE983034:EHE983040 ERA8:ERA14 ERA65530:ERA65536 ERA131066:ERA131072 ERA196602:ERA196608 ERA262138:ERA262144 ERA327674:ERA327680 ERA393210:ERA393216 ERA458746:ERA458752 ERA524282:ERA524288 ERA589818:ERA589824 ERA655354:ERA655360 ERA720890:ERA720896 ERA786426:ERA786432 ERA851962:ERA851968 ERA917498:ERA917504 ERA983034:ERA983040 FAW8:FAW14 FAW65530:FAW65536 FAW131066:FAW131072 FAW196602:FAW196608 FAW262138:FAW262144 FAW327674:FAW327680 FAW393210:FAW393216 FAW458746:FAW458752 FAW524282:FAW524288 FAW589818:FAW589824 FAW655354:FAW655360 FAW720890:FAW720896 FAW786426:FAW786432 FAW851962:FAW851968 FAW917498:FAW917504 FAW983034:FAW983040 FKS8:FKS14 FKS65530:FKS65536 FKS131066:FKS131072 FKS196602:FKS196608 FKS262138:FKS262144 FKS327674:FKS327680 FKS393210:FKS393216 FKS458746:FKS458752 FKS524282:FKS524288 FKS589818:FKS589824 FKS655354:FKS655360 FKS720890:FKS720896 FKS786426:FKS786432 FKS851962:FKS851968 FKS917498:FKS917504 FKS983034:FKS983040 FUO8:FUO14 FUO65530:FUO65536 FUO131066:FUO131072 FUO196602:FUO196608 FUO262138:FUO262144 FUO327674:FUO327680 FUO393210:FUO393216 FUO458746:FUO458752 FUO524282:FUO524288 FUO589818:FUO589824 FUO655354:FUO655360 FUO720890:FUO720896 FUO786426:FUO786432 FUO851962:FUO851968 FUO917498:FUO917504 FUO983034:FUO983040 GEK8:GEK14 GEK65530:GEK65536 GEK131066:GEK131072 GEK196602:GEK196608 GEK262138:GEK262144 GEK327674:GEK327680 GEK393210:GEK393216 GEK458746:GEK458752 GEK524282:GEK524288 GEK589818:GEK589824 GEK655354:GEK655360 GEK720890:GEK720896 GEK786426:GEK786432 GEK851962:GEK851968 GEK917498:GEK917504 GEK983034:GEK983040 GOG8:GOG14 GOG65530:GOG65536 GOG131066:GOG131072 GOG196602:GOG196608 GOG262138:GOG262144 GOG327674:GOG327680 GOG393210:GOG393216 GOG458746:GOG458752 GOG524282:GOG524288 GOG589818:GOG589824 GOG655354:GOG655360 GOG720890:GOG720896 GOG786426:GOG786432 GOG851962:GOG851968 GOG917498:GOG917504 GOG983034:GOG983040 GYC8:GYC14 GYC65530:GYC65536 GYC131066:GYC131072 GYC196602:GYC196608 GYC262138:GYC262144 GYC327674:GYC327680 GYC393210:GYC393216 GYC458746:GYC458752 GYC524282:GYC524288 GYC589818:GYC589824 GYC655354:GYC655360 GYC720890:GYC720896 GYC786426:GYC786432 GYC851962:GYC851968 GYC917498:GYC917504 GYC983034:GYC983040 HHY8:HHY14 HHY65530:HHY65536 HHY131066:HHY131072 HHY196602:HHY196608 HHY262138:HHY262144 HHY327674:HHY327680 HHY393210:HHY393216 HHY458746:HHY458752 HHY524282:HHY524288 HHY589818:HHY589824 HHY655354:HHY655360 HHY720890:HHY720896 HHY786426:HHY786432 HHY851962:HHY851968 HHY917498:HHY917504 HHY983034:HHY983040 HRU8:HRU14 HRU65530:HRU65536 HRU131066:HRU131072 HRU196602:HRU196608 HRU262138:HRU262144 HRU327674:HRU327680 HRU393210:HRU393216 HRU458746:HRU458752 HRU524282:HRU524288 HRU589818:HRU589824 HRU655354:HRU655360 HRU720890:HRU720896 HRU786426:HRU786432 HRU851962:HRU851968 HRU917498:HRU917504 HRU983034:HRU983040 IBQ8:IBQ14 IBQ65530:IBQ65536 IBQ131066:IBQ131072 IBQ196602:IBQ196608 IBQ262138:IBQ262144 IBQ327674:IBQ327680 IBQ393210:IBQ393216 IBQ458746:IBQ458752 IBQ524282:IBQ524288 IBQ589818:IBQ589824 IBQ655354:IBQ655360 IBQ720890:IBQ720896 IBQ786426:IBQ786432 IBQ851962:IBQ851968 IBQ917498:IBQ917504 IBQ983034:IBQ983040 ILM8:ILM14 ILM65530:ILM65536 ILM131066:ILM131072 ILM196602:ILM196608 ILM262138:ILM262144 ILM327674:ILM327680 ILM393210:ILM393216 ILM458746:ILM458752 ILM524282:ILM524288 ILM589818:ILM589824 ILM655354:ILM655360 ILM720890:ILM720896 ILM786426:ILM786432 ILM851962:ILM851968 ILM917498:ILM917504 ILM983034:ILM983040 IVI8:IVI14 IVI65530:IVI65536 IVI131066:IVI131072 IVI196602:IVI196608 IVI262138:IVI262144 IVI327674:IVI327680 IVI393210:IVI393216 IVI458746:IVI458752 IVI524282:IVI524288 IVI589818:IVI589824 IVI655354:IVI655360 IVI720890:IVI720896 IVI786426:IVI786432 IVI851962:IVI851968 IVI917498:IVI917504 IVI983034:IVI983040 JFE8:JFE14 JFE65530:JFE65536 JFE131066:JFE131072 JFE196602:JFE196608 JFE262138:JFE262144 JFE327674:JFE327680 JFE393210:JFE393216 JFE458746:JFE458752 JFE524282:JFE524288 JFE589818:JFE589824 JFE655354:JFE655360 JFE720890:JFE720896 JFE786426:JFE786432 JFE851962:JFE851968 JFE917498:JFE917504 JFE983034:JFE983040 JPA8:JPA14 JPA65530:JPA65536 JPA131066:JPA131072 JPA196602:JPA196608 JPA262138:JPA262144 JPA327674:JPA327680 JPA393210:JPA393216 JPA458746:JPA458752 JPA524282:JPA524288 JPA589818:JPA589824 JPA655354:JPA655360 JPA720890:JPA720896 JPA786426:JPA786432 JPA851962:JPA851968 JPA917498:JPA917504 JPA983034:JPA983040 JYW8:JYW14 JYW65530:JYW65536 JYW131066:JYW131072 JYW196602:JYW196608 JYW262138:JYW262144 JYW327674:JYW327680 JYW393210:JYW393216 JYW458746:JYW458752 JYW524282:JYW524288 JYW589818:JYW589824 JYW655354:JYW655360 JYW720890:JYW720896 JYW786426:JYW786432 JYW851962:JYW851968 JYW917498:JYW917504 JYW983034:JYW983040 KIS8:KIS14 KIS65530:KIS65536 KIS131066:KIS131072 KIS196602:KIS196608 KIS262138:KIS262144 KIS327674:KIS327680 KIS393210:KIS393216 KIS458746:KIS458752 KIS524282:KIS524288 KIS589818:KIS589824 KIS655354:KIS655360 KIS720890:KIS720896 KIS786426:KIS786432 KIS851962:KIS851968 KIS917498:KIS917504 KIS983034:KIS983040 KSO8:KSO14 KSO65530:KSO65536 KSO131066:KSO131072 KSO196602:KSO196608 KSO262138:KSO262144 KSO327674:KSO327680 KSO393210:KSO393216 KSO458746:KSO458752 KSO524282:KSO524288 KSO589818:KSO589824 KSO655354:KSO655360 KSO720890:KSO720896 KSO786426:KSO786432 KSO851962:KSO851968 KSO917498:KSO917504 KSO983034:KSO983040 LCK8:LCK14 LCK65530:LCK65536 LCK131066:LCK131072 LCK196602:LCK196608 LCK262138:LCK262144 LCK327674:LCK327680 LCK393210:LCK393216 LCK458746:LCK458752 LCK524282:LCK524288 LCK589818:LCK589824 LCK655354:LCK655360 LCK720890:LCK720896 LCK786426:LCK786432 LCK851962:LCK851968 LCK917498:LCK917504 LCK983034:LCK983040 LMG8:LMG14 LMG65530:LMG65536 LMG131066:LMG131072 LMG196602:LMG196608 LMG262138:LMG262144 LMG327674:LMG327680 LMG393210:LMG393216 LMG458746:LMG458752 LMG524282:LMG524288 LMG589818:LMG589824 LMG655354:LMG655360 LMG720890:LMG720896 LMG786426:LMG786432 LMG851962:LMG851968 LMG917498:LMG917504 LMG983034:LMG983040 LWC8:LWC14 LWC65530:LWC65536 LWC131066:LWC131072 LWC196602:LWC196608 LWC262138:LWC262144 LWC327674:LWC327680 LWC393210:LWC393216 LWC458746:LWC458752 LWC524282:LWC524288 LWC589818:LWC589824 LWC655354:LWC655360 LWC720890:LWC720896 LWC786426:LWC786432 LWC851962:LWC851968 LWC917498:LWC917504 LWC983034:LWC983040 MFY8:MFY14 MFY65530:MFY65536 MFY131066:MFY131072 MFY196602:MFY196608 MFY262138:MFY262144 MFY327674:MFY327680 MFY393210:MFY393216 MFY458746:MFY458752 MFY524282:MFY524288 MFY589818:MFY589824 MFY655354:MFY655360 MFY720890:MFY720896 MFY786426:MFY786432 MFY851962:MFY851968 MFY917498:MFY917504 MFY983034:MFY983040 MPU8:MPU14 MPU65530:MPU65536 MPU131066:MPU131072 MPU196602:MPU196608 MPU262138:MPU262144 MPU327674:MPU327680 MPU393210:MPU393216 MPU458746:MPU458752 MPU524282:MPU524288 MPU589818:MPU589824 MPU655354:MPU655360 MPU720890:MPU720896 MPU786426:MPU786432 MPU851962:MPU851968 MPU917498:MPU917504 MPU983034:MPU983040 MZQ8:MZQ14 MZQ65530:MZQ65536 MZQ131066:MZQ131072 MZQ196602:MZQ196608 MZQ262138:MZQ262144 MZQ327674:MZQ327680 MZQ393210:MZQ393216 MZQ458746:MZQ458752 MZQ524282:MZQ524288 MZQ589818:MZQ589824 MZQ655354:MZQ655360 MZQ720890:MZQ720896 MZQ786426:MZQ786432 MZQ851962:MZQ851968 MZQ917498:MZQ917504 MZQ983034:MZQ983040 NJM8:NJM14 NJM65530:NJM65536 NJM131066:NJM131072 NJM196602:NJM196608 NJM262138:NJM262144 NJM327674:NJM327680 NJM393210:NJM393216 NJM458746:NJM458752 NJM524282:NJM524288 NJM589818:NJM589824 NJM655354:NJM655360 NJM720890:NJM720896 NJM786426:NJM786432 NJM851962:NJM851968 NJM917498:NJM917504 NJM983034:NJM983040 NTI8:NTI14 NTI65530:NTI65536 NTI131066:NTI131072 NTI196602:NTI196608 NTI262138:NTI262144 NTI327674:NTI327680 NTI393210:NTI393216 NTI458746:NTI458752 NTI524282:NTI524288 NTI589818:NTI589824 NTI655354:NTI655360 NTI720890:NTI720896 NTI786426:NTI786432 NTI851962:NTI851968 NTI917498:NTI917504 NTI983034:NTI983040 ODE8:ODE14 ODE65530:ODE65536 ODE131066:ODE131072 ODE196602:ODE196608 ODE262138:ODE262144 ODE327674:ODE327680 ODE393210:ODE393216 ODE458746:ODE458752 ODE524282:ODE524288 ODE589818:ODE589824 ODE655354:ODE655360 ODE720890:ODE720896 ODE786426:ODE786432 ODE851962:ODE851968 ODE917498:ODE917504 ODE983034:ODE983040 ONA8:ONA14 ONA65530:ONA65536 ONA131066:ONA131072 ONA196602:ONA196608 ONA262138:ONA262144 ONA327674:ONA327680 ONA393210:ONA393216 ONA458746:ONA458752 ONA524282:ONA524288 ONA589818:ONA589824 ONA655354:ONA655360 ONA720890:ONA720896 ONA786426:ONA786432 ONA851962:ONA851968 ONA917498:ONA917504 ONA983034:ONA983040 OWW8:OWW14 OWW65530:OWW65536 OWW131066:OWW131072 OWW196602:OWW196608 OWW262138:OWW262144 OWW327674:OWW327680 OWW393210:OWW393216 OWW458746:OWW458752 OWW524282:OWW524288 OWW589818:OWW589824 OWW655354:OWW655360 OWW720890:OWW720896 OWW786426:OWW786432 OWW851962:OWW851968 OWW917498:OWW917504 OWW983034:OWW983040 PGS8:PGS14 PGS65530:PGS65536 PGS131066:PGS131072 PGS196602:PGS196608 PGS262138:PGS262144 PGS327674:PGS327680 PGS393210:PGS393216 PGS458746:PGS458752 PGS524282:PGS524288 PGS589818:PGS589824 PGS655354:PGS655360 PGS720890:PGS720896 PGS786426:PGS786432 PGS851962:PGS851968 PGS917498:PGS917504 PGS983034:PGS983040 PQO8:PQO14 PQO65530:PQO65536 PQO131066:PQO131072 PQO196602:PQO196608 PQO262138:PQO262144 PQO327674:PQO327680 PQO393210:PQO393216 PQO458746:PQO458752 PQO524282:PQO524288 PQO589818:PQO589824 PQO655354:PQO655360 PQO720890:PQO720896 PQO786426:PQO786432 PQO851962:PQO851968 PQO917498:PQO917504 PQO983034:PQO983040 QAK8:QAK14 QAK65530:QAK65536 QAK131066:QAK131072 QAK196602:QAK196608 QAK262138:QAK262144 QAK327674:QAK327680 QAK393210:QAK393216 QAK458746:QAK458752 QAK524282:QAK524288 QAK589818:QAK589824 QAK655354:QAK655360 QAK720890:QAK720896 QAK786426:QAK786432 QAK851962:QAK851968 QAK917498:QAK917504 QAK983034:QAK983040 QKG8:QKG14 QKG65530:QKG65536 QKG131066:QKG131072 QKG196602:QKG196608 QKG262138:QKG262144 QKG327674:QKG327680 QKG393210:QKG393216 QKG458746:QKG458752 QKG524282:QKG524288 QKG589818:QKG589824 QKG655354:QKG655360 QKG720890:QKG720896 QKG786426:QKG786432 QKG851962:QKG851968 QKG917498:QKG917504 QKG983034:QKG983040 QUC8:QUC14 QUC65530:QUC65536 QUC131066:QUC131072 QUC196602:QUC196608 QUC262138:QUC262144 QUC327674:QUC327680 QUC393210:QUC393216 QUC458746:QUC458752 QUC524282:QUC524288 QUC589818:QUC589824 QUC655354:QUC655360 QUC720890:QUC720896 QUC786426:QUC786432 QUC851962:QUC851968 QUC917498:QUC917504 QUC983034:QUC983040 RDY8:RDY14 RDY65530:RDY65536 RDY131066:RDY131072 RDY196602:RDY196608 RDY262138:RDY262144 RDY327674:RDY327680 RDY393210:RDY393216 RDY458746:RDY458752 RDY524282:RDY524288 RDY589818:RDY589824 RDY655354:RDY655360 RDY720890:RDY720896 RDY786426:RDY786432 RDY851962:RDY851968 RDY917498:RDY917504 RDY983034:RDY983040 RNU8:RNU14 RNU65530:RNU65536 RNU131066:RNU131072 RNU196602:RNU196608 RNU262138:RNU262144 RNU327674:RNU327680 RNU393210:RNU393216 RNU458746:RNU458752 RNU524282:RNU524288 RNU589818:RNU589824 RNU655354:RNU655360 RNU720890:RNU720896 RNU786426:RNU786432 RNU851962:RNU851968 RNU917498:RNU917504 RNU983034:RNU983040 RXQ8:RXQ14 RXQ65530:RXQ65536 RXQ131066:RXQ131072 RXQ196602:RXQ196608 RXQ262138:RXQ262144 RXQ327674:RXQ327680 RXQ393210:RXQ393216 RXQ458746:RXQ458752 RXQ524282:RXQ524288 RXQ589818:RXQ589824 RXQ655354:RXQ655360 RXQ720890:RXQ720896 RXQ786426:RXQ786432 RXQ851962:RXQ851968 RXQ917498:RXQ917504 RXQ983034:RXQ983040 SHM8:SHM14 SHM65530:SHM65536 SHM131066:SHM131072 SHM196602:SHM196608 SHM262138:SHM262144 SHM327674:SHM327680 SHM393210:SHM393216 SHM458746:SHM458752 SHM524282:SHM524288 SHM589818:SHM589824 SHM655354:SHM655360 SHM720890:SHM720896 SHM786426:SHM786432 SHM851962:SHM851968 SHM917498:SHM917504 SHM983034:SHM983040 SRI8:SRI14 SRI65530:SRI65536 SRI131066:SRI131072 SRI196602:SRI196608 SRI262138:SRI262144 SRI327674:SRI327680 SRI393210:SRI393216 SRI458746:SRI458752 SRI524282:SRI524288 SRI589818:SRI589824 SRI655354:SRI655360 SRI720890:SRI720896 SRI786426:SRI786432 SRI851962:SRI851968 SRI917498:SRI917504 SRI983034:SRI983040 TBE8:TBE14 TBE65530:TBE65536 TBE131066:TBE131072 TBE196602:TBE196608 TBE262138:TBE262144 TBE327674:TBE327680 TBE393210:TBE393216 TBE458746:TBE458752 TBE524282:TBE524288 TBE589818:TBE589824 TBE655354:TBE655360 TBE720890:TBE720896 TBE786426:TBE786432 TBE851962:TBE851968 TBE917498:TBE917504 TBE983034:TBE983040 TLA8:TLA14 TLA65530:TLA65536 TLA131066:TLA131072 TLA196602:TLA196608 TLA262138:TLA262144 TLA327674:TLA327680 TLA393210:TLA393216 TLA458746:TLA458752 TLA524282:TLA524288 TLA589818:TLA589824 TLA655354:TLA655360 TLA720890:TLA720896 TLA786426:TLA786432 TLA851962:TLA851968 TLA917498:TLA917504 TLA983034:TLA983040 TUW8:TUW14 TUW65530:TUW65536 TUW131066:TUW131072 TUW196602:TUW196608 TUW262138:TUW262144 TUW327674:TUW327680 TUW393210:TUW393216 TUW458746:TUW458752 TUW524282:TUW524288 TUW589818:TUW589824 TUW655354:TUW655360 TUW720890:TUW720896 TUW786426:TUW786432 TUW851962:TUW851968 TUW917498:TUW917504 TUW983034:TUW983040 UES8:UES14 UES65530:UES65536 UES131066:UES131072 UES196602:UES196608 UES262138:UES262144 UES327674:UES327680 UES393210:UES393216 UES458746:UES458752 UES524282:UES524288 UES589818:UES589824 UES655354:UES655360 UES720890:UES720896 UES786426:UES786432 UES851962:UES851968 UES917498:UES917504 UES983034:UES983040 UOO8:UOO14 UOO65530:UOO65536 UOO131066:UOO131072 UOO196602:UOO196608 UOO262138:UOO262144 UOO327674:UOO327680 UOO393210:UOO393216 UOO458746:UOO458752 UOO524282:UOO524288 UOO589818:UOO589824 UOO655354:UOO655360 UOO720890:UOO720896 UOO786426:UOO786432 UOO851962:UOO851968 UOO917498:UOO917504 UOO983034:UOO983040 UYK8:UYK14 UYK65530:UYK65536 UYK131066:UYK131072 UYK196602:UYK196608 UYK262138:UYK262144 UYK327674:UYK327680 UYK393210:UYK393216 UYK458746:UYK458752 UYK524282:UYK524288 UYK589818:UYK589824 UYK655354:UYK655360 UYK720890:UYK720896 UYK786426:UYK786432 UYK851962:UYK851968 UYK917498:UYK917504 UYK983034:UYK983040 VIG8:VIG14 VIG65530:VIG65536 VIG131066:VIG131072 VIG196602:VIG196608 VIG262138:VIG262144 VIG327674:VIG327680 VIG393210:VIG393216 VIG458746:VIG458752 VIG524282:VIG524288 VIG589818:VIG589824 VIG655354:VIG655360 VIG720890:VIG720896 VIG786426:VIG786432 VIG851962:VIG851968 VIG917498:VIG917504 VIG983034:VIG983040 VSC8:VSC14 VSC65530:VSC65536 VSC131066:VSC131072 VSC196602:VSC196608 VSC262138:VSC262144 VSC327674:VSC327680 VSC393210:VSC393216 VSC458746:VSC458752 VSC524282:VSC524288 VSC589818:VSC589824 VSC655354:VSC655360 VSC720890:VSC720896 VSC786426:VSC786432 VSC851962:VSC851968 VSC917498:VSC917504 VSC983034:VSC983040 WBY8:WBY14 WBY65530:WBY65536 WBY131066:WBY131072 WBY196602:WBY196608 WBY262138:WBY262144 WBY327674:WBY327680 WBY393210:WBY393216 WBY458746:WBY458752 WBY524282:WBY524288 WBY589818:WBY589824 WBY655354:WBY655360 WBY720890:WBY720896 WBY786426:WBY786432 WBY851962:WBY851968 WBY917498:WBY917504 WBY983034:WBY983040 WLU8:WLU14 WLU65530:WLU65536 WLU131066:WLU131072 WLU196602:WLU196608 WLU262138:WLU262144 WLU327674:WLU327680 WLU393210:WLU393216 WLU458746:WLU458752 WLU524282:WLU524288 WLU589818:WLU589824 WLU655354:WLU655360 WLU720890:WLU720896 WLU786426:WLU786432 WLU851962:WLU851968 WLU917498:WLU917504 WLU983034:WLU983040 WVQ8:WVQ14 WVQ65530:WVQ65536 WVQ131066:WVQ131072 WVQ196602:WVQ196608 WVQ262138:WVQ262144 WVQ327674:WVQ327680 WVQ393210:WVQ393216 WVQ458746:WVQ458752 WVQ524282:WVQ524288 WVQ589818:WVQ589824 WVQ655354:WVQ655360 WVQ720890:WVQ720896 WVQ786426:WVQ786432 WVQ851962:WVQ851968 WVQ917498:WVQ917504 WVQ983034:WVQ983040" xr:uid="{00000000-0002-0000-1500-000001000000}">
      <formula1>"正确,错误"</formula1>
    </dataValidation>
  </dataValidations>
  <hyperlinks>
    <hyperlink ref="A1" location="UAT测试案例清单!A1" display="返回" xr:uid="{00000000-0004-0000-15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J19"/>
  <sheetViews>
    <sheetView workbookViewId="0"/>
  </sheetViews>
  <sheetFormatPr defaultColWidth="9" defaultRowHeight="12" x14ac:dyDescent="0.25"/>
  <cols>
    <col min="1" max="1" width="6.59765625" style="1" customWidth="1"/>
    <col min="2" max="2" width="19.69921875" style="1" customWidth="1"/>
    <col min="3" max="3" width="27.69921875" style="1" customWidth="1"/>
    <col min="4" max="4" width="49.69921875" style="1" customWidth="1"/>
    <col min="5" max="5" width="31"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7.69921875" style="1" customWidth="1"/>
    <col min="261" max="261" width="49.69921875" style="1" customWidth="1"/>
    <col min="262" max="262" width="31"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7.69921875" style="1" customWidth="1"/>
    <col min="517" max="517" width="49.69921875" style="1" customWidth="1"/>
    <col min="518" max="518" width="31"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7.69921875" style="1" customWidth="1"/>
    <col min="773" max="773" width="49.69921875" style="1" customWidth="1"/>
    <col min="774" max="774" width="31"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7.69921875" style="1" customWidth="1"/>
    <col min="1029" max="1029" width="49.69921875" style="1" customWidth="1"/>
    <col min="1030" max="1030" width="31"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7.69921875" style="1" customWidth="1"/>
    <col min="1285" max="1285" width="49.69921875" style="1" customWidth="1"/>
    <col min="1286" max="1286" width="31"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7.69921875" style="1" customWidth="1"/>
    <col min="1541" max="1541" width="49.69921875" style="1" customWidth="1"/>
    <col min="1542" max="1542" width="31"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7.69921875" style="1" customWidth="1"/>
    <col min="1797" max="1797" width="49.69921875" style="1" customWidth="1"/>
    <col min="1798" max="1798" width="31"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7.69921875" style="1" customWidth="1"/>
    <col min="2053" max="2053" width="49.69921875" style="1" customWidth="1"/>
    <col min="2054" max="2054" width="31"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7.69921875" style="1" customWidth="1"/>
    <col min="2309" max="2309" width="49.69921875" style="1" customWidth="1"/>
    <col min="2310" max="2310" width="31"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7.69921875" style="1" customWidth="1"/>
    <col min="2565" max="2565" width="49.69921875" style="1" customWidth="1"/>
    <col min="2566" max="2566" width="31"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7.69921875" style="1" customWidth="1"/>
    <col min="2821" max="2821" width="49.69921875" style="1" customWidth="1"/>
    <col min="2822" max="2822" width="31"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7.69921875" style="1" customWidth="1"/>
    <col min="3077" max="3077" width="49.69921875" style="1" customWidth="1"/>
    <col min="3078" max="3078" width="31"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7.69921875" style="1" customWidth="1"/>
    <col min="3333" max="3333" width="49.69921875" style="1" customWidth="1"/>
    <col min="3334" max="3334" width="31"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7.69921875" style="1" customWidth="1"/>
    <col min="3589" max="3589" width="49.69921875" style="1" customWidth="1"/>
    <col min="3590" max="3590" width="31"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7.69921875" style="1" customWidth="1"/>
    <col min="3845" max="3845" width="49.69921875" style="1" customWidth="1"/>
    <col min="3846" max="3846" width="31"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7.69921875" style="1" customWidth="1"/>
    <col min="4101" max="4101" width="49.69921875" style="1" customWidth="1"/>
    <col min="4102" max="4102" width="31"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7.69921875" style="1" customWidth="1"/>
    <col min="4357" max="4357" width="49.69921875" style="1" customWidth="1"/>
    <col min="4358" max="4358" width="31"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7.69921875" style="1" customWidth="1"/>
    <col min="4613" max="4613" width="49.69921875" style="1" customWidth="1"/>
    <col min="4614" max="4614" width="31"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7.69921875" style="1" customWidth="1"/>
    <col min="4869" max="4869" width="49.69921875" style="1" customWidth="1"/>
    <col min="4870" max="4870" width="31"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7.69921875" style="1" customWidth="1"/>
    <col min="5125" max="5125" width="49.69921875" style="1" customWidth="1"/>
    <col min="5126" max="5126" width="31"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7.69921875" style="1" customWidth="1"/>
    <col min="5381" max="5381" width="49.69921875" style="1" customWidth="1"/>
    <col min="5382" max="5382" width="31"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7.69921875" style="1" customWidth="1"/>
    <col min="5637" max="5637" width="49.69921875" style="1" customWidth="1"/>
    <col min="5638" max="5638" width="31"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7.69921875" style="1" customWidth="1"/>
    <col min="5893" max="5893" width="49.69921875" style="1" customWidth="1"/>
    <col min="5894" max="5894" width="31"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7.69921875" style="1" customWidth="1"/>
    <col min="6149" max="6149" width="49.69921875" style="1" customWidth="1"/>
    <col min="6150" max="6150" width="31"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7.69921875" style="1" customWidth="1"/>
    <col min="6405" max="6405" width="49.69921875" style="1" customWidth="1"/>
    <col min="6406" max="6406" width="31"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7.69921875" style="1" customWidth="1"/>
    <col min="6661" max="6661" width="49.69921875" style="1" customWidth="1"/>
    <col min="6662" max="6662" width="31"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7.69921875" style="1" customWidth="1"/>
    <col min="6917" max="6917" width="49.69921875" style="1" customWidth="1"/>
    <col min="6918" max="6918" width="31"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7.69921875" style="1" customWidth="1"/>
    <col min="7173" max="7173" width="49.69921875" style="1" customWidth="1"/>
    <col min="7174" max="7174" width="31"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7.69921875" style="1" customWidth="1"/>
    <col min="7429" max="7429" width="49.69921875" style="1" customWidth="1"/>
    <col min="7430" max="7430" width="31"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7.69921875" style="1" customWidth="1"/>
    <col min="7685" max="7685" width="49.69921875" style="1" customWidth="1"/>
    <col min="7686" max="7686" width="31"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7.69921875" style="1" customWidth="1"/>
    <col min="7941" max="7941" width="49.69921875" style="1" customWidth="1"/>
    <col min="7942" max="7942" width="31"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7.69921875" style="1" customWidth="1"/>
    <col min="8197" max="8197" width="49.69921875" style="1" customWidth="1"/>
    <col min="8198" max="8198" width="31"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7.69921875" style="1" customWidth="1"/>
    <col min="8453" max="8453" width="49.69921875" style="1" customWidth="1"/>
    <col min="8454" max="8454" width="31"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7.69921875" style="1" customWidth="1"/>
    <col min="8709" max="8709" width="49.69921875" style="1" customWidth="1"/>
    <col min="8710" max="8710" width="31"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7.69921875" style="1" customWidth="1"/>
    <col min="8965" max="8965" width="49.69921875" style="1" customWidth="1"/>
    <col min="8966" max="8966" width="31"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7.69921875" style="1" customWidth="1"/>
    <col min="9221" max="9221" width="49.69921875" style="1" customWidth="1"/>
    <col min="9222" max="9222" width="31"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7.69921875" style="1" customWidth="1"/>
    <col min="9477" max="9477" width="49.69921875" style="1" customWidth="1"/>
    <col min="9478" max="9478" width="31"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7.69921875" style="1" customWidth="1"/>
    <col min="9733" max="9733" width="49.69921875" style="1" customWidth="1"/>
    <col min="9734" max="9734" width="31"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7.69921875" style="1" customWidth="1"/>
    <col min="9989" max="9989" width="49.69921875" style="1" customWidth="1"/>
    <col min="9990" max="9990" width="31"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7.69921875" style="1" customWidth="1"/>
    <col min="10245" max="10245" width="49.69921875" style="1" customWidth="1"/>
    <col min="10246" max="10246" width="31"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7.69921875" style="1" customWidth="1"/>
    <col min="10501" max="10501" width="49.69921875" style="1" customWidth="1"/>
    <col min="10502" max="10502" width="31"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7.69921875" style="1" customWidth="1"/>
    <col min="10757" max="10757" width="49.69921875" style="1" customWidth="1"/>
    <col min="10758" max="10758" width="31"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7.69921875" style="1" customWidth="1"/>
    <col min="11013" max="11013" width="49.69921875" style="1" customWidth="1"/>
    <col min="11014" max="11014" width="31"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7.69921875" style="1" customWidth="1"/>
    <col min="11269" max="11269" width="49.69921875" style="1" customWidth="1"/>
    <col min="11270" max="11270" width="31"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7.69921875" style="1" customWidth="1"/>
    <col min="11525" max="11525" width="49.69921875" style="1" customWidth="1"/>
    <col min="11526" max="11526" width="31"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7.69921875" style="1" customWidth="1"/>
    <col min="11781" max="11781" width="49.69921875" style="1" customWidth="1"/>
    <col min="11782" max="11782" width="31"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7.69921875" style="1" customWidth="1"/>
    <col min="12037" max="12037" width="49.69921875" style="1" customWidth="1"/>
    <col min="12038" max="12038" width="31"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7.69921875" style="1" customWidth="1"/>
    <col min="12293" max="12293" width="49.69921875" style="1" customWidth="1"/>
    <col min="12294" max="12294" width="31"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7.69921875" style="1" customWidth="1"/>
    <col min="12549" max="12549" width="49.69921875" style="1" customWidth="1"/>
    <col min="12550" max="12550" width="31"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7.69921875" style="1" customWidth="1"/>
    <col min="12805" max="12805" width="49.69921875" style="1" customWidth="1"/>
    <col min="12806" max="12806" width="31"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7.69921875" style="1" customWidth="1"/>
    <col min="13061" max="13061" width="49.69921875" style="1" customWidth="1"/>
    <col min="13062" max="13062" width="31"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7.69921875" style="1" customWidth="1"/>
    <col min="13317" max="13317" width="49.69921875" style="1" customWidth="1"/>
    <col min="13318" max="13318" width="31"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7.69921875" style="1" customWidth="1"/>
    <col min="13573" max="13573" width="49.69921875" style="1" customWidth="1"/>
    <col min="13574" max="13574" width="31"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7.69921875" style="1" customWidth="1"/>
    <col min="13829" max="13829" width="49.69921875" style="1" customWidth="1"/>
    <col min="13830" max="13830" width="31"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7.69921875" style="1" customWidth="1"/>
    <col min="14085" max="14085" width="49.69921875" style="1" customWidth="1"/>
    <col min="14086" max="14086" width="31"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7.69921875" style="1" customWidth="1"/>
    <col min="14341" max="14341" width="49.69921875" style="1" customWidth="1"/>
    <col min="14342" max="14342" width="31"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7.69921875" style="1" customWidth="1"/>
    <col min="14597" max="14597" width="49.69921875" style="1" customWidth="1"/>
    <col min="14598" max="14598" width="31"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7.69921875" style="1" customWidth="1"/>
    <col min="14853" max="14853" width="49.69921875" style="1" customWidth="1"/>
    <col min="14854" max="14854" width="31"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7.69921875" style="1" customWidth="1"/>
    <col min="15109" max="15109" width="49.69921875" style="1" customWidth="1"/>
    <col min="15110" max="15110" width="31"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7.69921875" style="1" customWidth="1"/>
    <col min="15365" max="15365" width="49.69921875" style="1" customWidth="1"/>
    <col min="15366" max="15366" width="31"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7.69921875" style="1" customWidth="1"/>
    <col min="15621" max="15621" width="49.69921875" style="1" customWidth="1"/>
    <col min="15622" max="15622" width="31"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7.69921875" style="1" customWidth="1"/>
    <col min="15877" max="15877" width="49.69921875" style="1" customWidth="1"/>
    <col min="15878" max="15878" width="31"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7.69921875" style="1" customWidth="1"/>
    <col min="16133" max="16133" width="49.69921875" style="1" customWidth="1"/>
    <col min="16134" max="16134" width="31"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21" customHeight="1" x14ac:dyDescent="0.25">
      <c r="B3" s="5" t="s">
        <v>88</v>
      </c>
      <c r="C3" s="5" t="s">
        <v>39</v>
      </c>
      <c r="D3" s="5" t="s">
        <v>40</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29" t="s">
        <v>97</v>
      </c>
      <c r="J7" s="4" t="s">
        <v>98</v>
      </c>
    </row>
    <row r="8" spans="1:10" ht="73.5" customHeight="1" x14ac:dyDescent="0.25">
      <c r="B8" s="7" t="s">
        <v>312</v>
      </c>
      <c r="C8" s="5" t="s">
        <v>313</v>
      </c>
      <c r="D8" s="8" t="s">
        <v>314</v>
      </c>
      <c r="E8" s="5"/>
      <c r="F8" s="5"/>
      <c r="G8" s="7"/>
      <c r="H8" s="27"/>
      <c r="I8" s="11"/>
      <c r="J8" s="30"/>
    </row>
    <row r="9" spans="1:10" ht="48" customHeight="1" x14ac:dyDescent="0.25">
      <c r="B9" s="7" t="s">
        <v>24</v>
      </c>
      <c r="C9" s="5" t="s">
        <v>287</v>
      </c>
      <c r="D9" s="8" t="s">
        <v>288</v>
      </c>
      <c r="E9" s="5"/>
      <c r="F9" s="5"/>
      <c r="G9" s="7"/>
      <c r="H9" s="27"/>
      <c r="I9" s="11"/>
      <c r="J9" s="30"/>
    </row>
    <row r="10" spans="1:10" ht="60.45" customHeight="1" x14ac:dyDescent="0.25">
      <c r="B10" s="7" t="s">
        <v>289</v>
      </c>
      <c r="C10" s="7" t="s">
        <v>290</v>
      </c>
      <c r="D10" s="8" t="s">
        <v>315</v>
      </c>
      <c r="E10" s="5"/>
      <c r="F10" s="5"/>
      <c r="G10" s="7"/>
      <c r="H10" s="27"/>
      <c r="I10" s="11"/>
      <c r="J10" s="30"/>
    </row>
    <row r="11" spans="1:10" x14ac:dyDescent="0.25">
      <c r="B11" s="7"/>
      <c r="C11" s="7"/>
      <c r="D11" s="8"/>
      <c r="E11" s="5"/>
      <c r="F11" s="5"/>
      <c r="G11" s="7"/>
      <c r="H11" s="27"/>
      <c r="I11" s="11"/>
      <c r="J11" s="30"/>
    </row>
    <row r="12" spans="1:10" x14ac:dyDescent="0.25">
      <c r="B12" s="7"/>
      <c r="C12" s="7"/>
      <c r="D12" s="8"/>
      <c r="E12" s="5"/>
      <c r="F12" s="5"/>
      <c r="G12" s="7"/>
      <c r="H12" s="27"/>
      <c r="I12" s="11"/>
      <c r="J12" s="30"/>
    </row>
    <row r="13" spans="1:10" x14ac:dyDescent="0.25">
      <c r="B13" s="7"/>
      <c r="C13" s="7"/>
      <c r="D13" s="8"/>
      <c r="E13" s="5"/>
      <c r="F13" s="5"/>
      <c r="G13" s="7"/>
      <c r="H13" s="27"/>
      <c r="I13" s="11"/>
      <c r="J13" s="30"/>
    </row>
    <row r="14" spans="1:10" x14ac:dyDescent="0.25">
      <c r="B14" s="7"/>
      <c r="C14" s="7"/>
      <c r="D14" s="8"/>
      <c r="E14" s="5"/>
      <c r="F14" s="5"/>
      <c r="G14" s="7"/>
      <c r="H14" s="27"/>
      <c r="I14" s="11"/>
      <c r="J14" s="30"/>
    </row>
    <row r="15" spans="1:10" x14ac:dyDescent="0.25">
      <c r="E15" s="9"/>
      <c r="F15" s="9"/>
      <c r="G15" s="9"/>
      <c r="H15" s="28"/>
      <c r="I15" s="11"/>
      <c r="J15" s="31"/>
    </row>
    <row r="16" spans="1:10" ht="14.4" x14ac:dyDescent="0.25">
      <c r="B16" s="90" t="s">
        <v>118</v>
      </c>
      <c r="C16" s="91"/>
      <c r="D16" s="91"/>
      <c r="E16" s="9"/>
      <c r="F16" s="9"/>
      <c r="G16" s="9"/>
      <c r="H16" s="28"/>
      <c r="I16" s="11"/>
      <c r="J16" s="31"/>
    </row>
    <row r="17" spans="2:9" x14ac:dyDescent="0.25">
      <c r="B17" s="4" t="s">
        <v>119</v>
      </c>
      <c r="C17" s="4" t="s">
        <v>120</v>
      </c>
      <c r="D17" s="4" t="s">
        <v>121</v>
      </c>
      <c r="I17" s="26"/>
    </row>
    <row r="18" spans="2:9" x14ac:dyDescent="0.25">
      <c r="B18" s="7" t="s">
        <v>122</v>
      </c>
      <c r="C18" s="7"/>
      <c r="D18" s="7"/>
      <c r="I18" s="26"/>
    </row>
    <row r="19" spans="2:9" x14ac:dyDescent="0.25">
      <c r="I19" s="26"/>
    </row>
  </sheetData>
  <mergeCells count="3">
    <mergeCell ref="B1:E1"/>
    <mergeCell ref="B6:J6"/>
    <mergeCell ref="B16:D16"/>
  </mergeCells>
  <phoneticPr fontId="29" type="noConversion"/>
  <dataValidations count="2">
    <dataValidation type="list" allowBlank="1" showInputMessage="1" showErrorMessage="1" sqref="E3" xr:uid="{00000000-0002-0000-16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1600-000001000000}">
      <formula1>"正确,错误"</formula1>
    </dataValidation>
  </dataValidations>
  <hyperlinks>
    <hyperlink ref="A1" location="UAT测试案例清单!A1" display="返回" xr:uid="{00000000-0004-0000-16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J19"/>
  <sheetViews>
    <sheetView workbookViewId="0"/>
  </sheetViews>
  <sheetFormatPr defaultColWidth="9" defaultRowHeight="12" x14ac:dyDescent="0.25"/>
  <cols>
    <col min="1" max="1" width="6.59765625" style="1" customWidth="1"/>
    <col min="2" max="2" width="19.69921875" style="1" customWidth="1"/>
    <col min="3" max="3" width="25.69921875" style="1" customWidth="1"/>
    <col min="4" max="4" width="51.69921875" style="1" customWidth="1"/>
    <col min="5" max="5" width="42.69921875"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51.69921875" style="1" customWidth="1"/>
    <col min="262" max="262" width="42.69921875"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51.69921875" style="1" customWidth="1"/>
    <col min="518" max="518" width="42.69921875"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51.69921875" style="1" customWidth="1"/>
    <col min="774" max="774" width="42.69921875"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51.69921875" style="1" customWidth="1"/>
    <col min="1030" max="1030" width="42.69921875"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51.69921875" style="1" customWidth="1"/>
    <col min="1286" max="1286" width="42.69921875"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51.69921875" style="1" customWidth="1"/>
    <col min="1542" max="1542" width="42.69921875"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51.69921875" style="1" customWidth="1"/>
    <col min="1798" max="1798" width="42.69921875"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51.69921875" style="1" customWidth="1"/>
    <col min="2054" max="2054" width="42.69921875"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51.69921875" style="1" customWidth="1"/>
    <col min="2310" max="2310" width="42.69921875"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51.69921875" style="1" customWidth="1"/>
    <col min="2566" max="2566" width="42.69921875"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51.69921875" style="1" customWidth="1"/>
    <col min="2822" max="2822" width="42.69921875"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51.69921875" style="1" customWidth="1"/>
    <col min="3078" max="3078" width="42.69921875"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51.69921875" style="1" customWidth="1"/>
    <col min="3334" max="3334" width="42.69921875"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51.69921875" style="1" customWidth="1"/>
    <col min="3590" max="3590" width="42.69921875"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51.69921875" style="1" customWidth="1"/>
    <col min="3846" max="3846" width="42.69921875"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51.69921875" style="1" customWidth="1"/>
    <col min="4102" max="4102" width="42.69921875"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51.69921875" style="1" customWidth="1"/>
    <col min="4358" max="4358" width="42.69921875"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51.69921875" style="1" customWidth="1"/>
    <col min="4614" max="4614" width="42.69921875"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51.69921875" style="1" customWidth="1"/>
    <col min="4870" max="4870" width="42.69921875"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51.69921875" style="1" customWidth="1"/>
    <col min="5126" max="5126" width="42.69921875"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51.69921875" style="1" customWidth="1"/>
    <col min="5382" max="5382" width="42.69921875"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51.69921875" style="1" customWidth="1"/>
    <col min="5638" max="5638" width="42.69921875"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51.69921875" style="1" customWidth="1"/>
    <col min="5894" max="5894" width="42.69921875"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51.69921875" style="1" customWidth="1"/>
    <col min="6150" max="6150" width="42.69921875"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51.69921875" style="1" customWidth="1"/>
    <col min="6406" max="6406" width="42.69921875"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51.69921875" style="1" customWidth="1"/>
    <col min="6662" max="6662" width="42.69921875"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51.69921875" style="1" customWidth="1"/>
    <col min="6918" max="6918" width="42.69921875"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51.69921875" style="1" customWidth="1"/>
    <col min="7174" max="7174" width="42.69921875"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51.69921875" style="1" customWidth="1"/>
    <col min="7430" max="7430" width="42.69921875"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51.69921875" style="1" customWidth="1"/>
    <col min="7686" max="7686" width="42.69921875"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51.69921875" style="1" customWidth="1"/>
    <col min="7942" max="7942" width="42.69921875"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51.69921875" style="1" customWidth="1"/>
    <col min="8198" max="8198" width="42.69921875"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51.69921875" style="1" customWidth="1"/>
    <col min="8454" max="8454" width="42.69921875"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51.69921875" style="1" customWidth="1"/>
    <col min="8710" max="8710" width="42.69921875"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51.69921875" style="1" customWidth="1"/>
    <col min="8966" max="8966" width="42.69921875"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51.69921875" style="1" customWidth="1"/>
    <col min="9222" max="9222" width="42.69921875"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51.69921875" style="1" customWidth="1"/>
    <col min="9478" max="9478" width="42.69921875"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51.69921875" style="1" customWidth="1"/>
    <col min="9734" max="9734" width="42.69921875"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51.69921875" style="1" customWidth="1"/>
    <col min="9990" max="9990" width="42.69921875"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51.69921875" style="1" customWidth="1"/>
    <col min="10246" max="10246" width="42.69921875"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51.69921875" style="1" customWidth="1"/>
    <col min="10502" max="10502" width="42.69921875"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51.69921875" style="1" customWidth="1"/>
    <col min="10758" max="10758" width="42.69921875"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51.69921875" style="1" customWidth="1"/>
    <col min="11014" max="11014" width="42.69921875"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51.69921875" style="1" customWidth="1"/>
    <col min="11270" max="11270" width="42.69921875"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51.69921875" style="1" customWidth="1"/>
    <col min="11526" max="11526" width="42.69921875"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51.69921875" style="1" customWidth="1"/>
    <col min="11782" max="11782" width="42.69921875"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51.69921875" style="1" customWidth="1"/>
    <col min="12038" max="12038" width="42.69921875"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51.69921875" style="1" customWidth="1"/>
    <col min="12294" max="12294" width="42.69921875"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51.69921875" style="1" customWidth="1"/>
    <col min="12550" max="12550" width="42.69921875"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51.69921875" style="1" customWidth="1"/>
    <col min="12806" max="12806" width="42.69921875"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51.69921875" style="1" customWidth="1"/>
    <col min="13062" max="13062" width="42.69921875"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51.69921875" style="1" customWidth="1"/>
    <col min="13318" max="13318" width="42.69921875"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51.69921875" style="1" customWidth="1"/>
    <col min="13574" max="13574" width="42.69921875"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51.69921875" style="1" customWidth="1"/>
    <col min="13830" max="13830" width="42.69921875"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51.69921875" style="1" customWidth="1"/>
    <col min="14086" max="14086" width="42.69921875"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51.69921875" style="1" customWidth="1"/>
    <col min="14342" max="14342" width="42.69921875"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51.69921875" style="1" customWidth="1"/>
    <col min="14598" max="14598" width="42.69921875"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51.69921875" style="1" customWidth="1"/>
    <col min="14854" max="14854" width="42.69921875"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51.69921875" style="1" customWidth="1"/>
    <col min="15110" max="15110" width="42.69921875"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51.69921875" style="1" customWidth="1"/>
    <col min="15366" max="15366" width="42.69921875"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51.69921875" style="1" customWidth="1"/>
    <col min="15622" max="15622" width="42.69921875"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51.69921875" style="1" customWidth="1"/>
    <col min="15878" max="15878" width="42.69921875"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51.69921875" style="1" customWidth="1"/>
    <col min="16134" max="16134" width="42.69921875"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47.55" customHeight="1" x14ac:dyDescent="0.25">
      <c r="B3" s="5" t="s">
        <v>88</v>
      </c>
      <c r="C3" s="5" t="s">
        <v>41</v>
      </c>
      <c r="D3" s="5" t="s">
        <v>316</v>
      </c>
      <c r="E3" s="6"/>
      <c r="F3" s="5" t="s">
        <v>317</v>
      </c>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24.95" customHeight="1" x14ac:dyDescent="0.25">
      <c r="B8" s="7" t="s">
        <v>283</v>
      </c>
      <c r="C8" s="5" t="s">
        <v>284</v>
      </c>
      <c r="D8" s="8" t="s">
        <v>318</v>
      </c>
      <c r="E8" s="5"/>
      <c r="F8" s="5"/>
      <c r="G8" s="7"/>
      <c r="H8" s="7"/>
      <c r="I8" s="11"/>
      <c r="J8" s="7"/>
    </row>
    <row r="9" spans="1:10" ht="48" customHeight="1" x14ac:dyDescent="0.25">
      <c r="B9" s="7" t="s">
        <v>24</v>
      </c>
      <c r="C9" s="5" t="s">
        <v>287</v>
      </c>
      <c r="D9" s="8" t="s">
        <v>288</v>
      </c>
      <c r="E9" s="5"/>
      <c r="F9" s="5"/>
      <c r="G9" s="7"/>
      <c r="H9" s="7"/>
      <c r="I9" s="11"/>
      <c r="J9" s="7"/>
    </row>
    <row r="10" spans="1:10" ht="64.95" customHeight="1" x14ac:dyDescent="0.25">
      <c r="B10" s="7" t="s">
        <v>289</v>
      </c>
      <c r="C10" s="7" t="s">
        <v>290</v>
      </c>
      <c r="D10" s="8" t="s">
        <v>319</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9" x14ac:dyDescent="0.25">
      <c r="B17" s="4" t="s">
        <v>119</v>
      </c>
      <c r="C17" s="4" t="s">
        <v>120</v>
      </c>
      <c r="D17" s="4" t="s">
        <v>121</v>
      </c>
      <c r="I17" s="26"/>
    </row>
    <row r="18" spans="2:9" x14ac:dyDescent="0.25">
      <c r="B18" s="7" t="s">
        <v>122</v>
      </c>
      <c r="C18" s="7"/>
      <c r="D18" s="7"/>
      <c r="I18" s="26"/>
    </row>
    <row r="19" spans="2:9" x14ac:dyDescent="0.25">
      <c r="I19" s="26"/>
    </row>
  </sheetData>
  <mergeCells count="3">
    <mergeCell ref="B1:E1"/>
    <mergeCell ref="B6:J6"/>
    <mergeCell ref="B16:D16"/>
  </mergeCells>
  <phoneticPr fontId="29" type="noConversion"/>
  <dataValidations count="2">
    <dataValidation type="list" allowBlank="1" showInputMessage="1" showErrorMessage="1" sqref="E3" xr:uid="{00000000-0002-0000-17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1700-000001000000}">
      <formula1>"正确,错误"</formula1>
    </dataValidation>
  </dataValidations>
  <hyperlinks>
    <hyperlink ref="A1" location="UAT测试案例清单!A1" display="返回" xr:uid="{00000000-0004-0000-17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J26"/>
  <sheetViews>
    <sheetView zoomScale="80" zoomScaleNormal="80" workbookViewId="0"/>
  </sheetViews>
  <sheetFormatPr defaultColWidth="9" defaultRowHeight="12" x14ac:dyDescent="0.25"/>
  <cols>
    <col min="1" max="1" width="6.59765625" style="1" customWidth="1"/>
    <col min="2" max="2" width="19.69921875" style="1" customWidth="1"/>
    <col min="3" max="3" width="34" style="1" customWidth="1"/>
    <col min="4" max="4" width="56.19921875" style="1" customWidth="1"/>
    <col min="5" max="5" width="42.69921875"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34" style="1" customWidth="1"/>
    <col min="261" max="261" width="56.19921875" style="1" customWidth="1"/>
    <col min="262" max="262" width="42.69921875"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34" style="1" customWidth="1"/>
    <col min="517" max="517" width="56.19921875" style="1" customWidth="1"/>
    <col min="518" max="518" width="42.69921875"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34" style="1" customWidth="1"/>
    <col min="773" max="773" width="56.19921875" style="1" customWidth="1"/>
    <col min="774" max="774" width="42.69921875"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34" style="1" customWidth="1"/>
    <col min="1029" max="1029" width="56.19921875" style="1" customWidth="1"/>
    <col min="1030" max="1030" width="42.69921875"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34" style="1" customWidth="1"/>
    <col min="1285" max="1285" width="56.19921875" style="1" customWidth="1"/>
    <col min="1286" max="1286" width="42.69921875"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34" style="1" customWidth="1"/>
    <col min="1541" max="1541" width="56.19921875" style="1" customWidth="1"/>
    <col min="1542" max="1542" width="42.69921875"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34" style="1" customWidth="1"/>
    <col min="1797" max="1797" width="56.19921875" style="1" customWidth="1"/>
    <col min="1798" max="1798" width="42.69921875"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34" style="1" customWidth="1"/>
    <col min="2053" max="2053" width="56.19921875" style="1" customWidth="1"/>
    <col min="2054" max="2054" width="42.69921875"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34" style="1" customWidth="1"/>
    <col min="2309" max="2309" width="56.19921875" style="1" customWidth="1"/>
    <col min="2310" max="2310" width="42.69921875"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34" style="1" customWidth="1"/>
    <col min="2565" max="2565" width="56.19921875" style="1" customWidth="1"/>
    <col min="2566" max="2566" width="42.69921875"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34" style="1" customWidth="1"/>
    <col min="2821" max="2821" width="56.19921875" style="1" customWidth="1"/>
    <col min="2822" max="2822" width="42.69921875"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34" style="1" customWidth="1"/>
    <col min="3077" max="3077" width="56.19921875" style="1" customWidth="1"/>
    <col min="3078" max="3078" width="42.69921875"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34" style="1" customWidth="1"/>
    <col min="3333" max="3333" width="56.19921875" style="1" customWidth="1"/>
    <col min="3334" max="3334" width="42.69921875"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34" style="1" customWidth="1"/>
    <col min="3589" max="3589" width="56.19921875" style="1" customWidth="1"/>
    <col min="3590" max="3590" width="42.69921875"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34" style="1" customWidth="1"/>
    <col min="3845" max="3845" width="56.19921875" style="1" customWidth="1"/>
    <col min="3846" max="3846" width="42.69921875"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34" style="1" customWidth="1"/>
    <col min="4101" max="4101" width="56.19921875" style="1" customWidth="1"/>
    <col min="4102" max="4102" width="42.69921875"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34" style="1" customWidth="1"/>
    <col min="4357" max="4357" width="56.19921875" style="1" customWidth="1"/>
    <col min="4358" max="4358" width="42.69921875"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34" style="1" customWidth="1"/>
    <col min="4613" max="4613" width="56.19921875" style="1" customWidth="1"/>
    <col min="4614" max="4614" width="42.69921875"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34" style="1" customWidth="1"/>
    <col min="4869" max="4869" width="56.19921875" style="1" customWidth="1"/>
    <col min="4870" max="4870" width="42.69921875"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34" style="1" customWidth="1"/>
    <col min="5125" max="5125" width="56.19921875" style="1" customWidth="1"/>
    <col min="5126" max="5126" width="42.69921875"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34" style="1" customWidth="1"/>
    <col min="5381" max="5381" width="56.19921875" style="1" customWidth="1"/>
    <col min="5382" max="5382" width="42.69921875"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34" style="1" customWidth="1"/>
    <col min="5637" max="5637" width="56.19921875" style="1" customWidth="1"/>
    <col min="5638" max="5638" width="42.69921875"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34" style="1" customWidth="1"/>
    <col min="5893" max="5893" width="56.19921875" style="1" customWidth="1"/>
    <col min="5894" max="5894" width="42.69921875"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34" style="1" customWidth="1"/>
    <col min="6149" max="6149" width="56.19921875" style="1" customWidth="1"/>
    <col min="6150" max="6150" width="42.69921875"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34" style="1" customWidth="1"/>
    <col min="6405" max="6405" width="56.19921875" style="1" customWidth="1"/>
    <col min="6406" max="6406" width="42.69921875"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34" style="1" customWidth="1"/>
    <col min="6661" max="6661" width="56.19921875" style="1" customWidth="1"/>
    <col min="6662" max="6662" width="42.69921875"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34" style="1" customWidth="1"/>
    <col min="6917" max="6917" width="56.19921875" style="1" customWidth="1"/>
    <col min="6918" max="6918" width="42.69921875"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34" style="1" customWidth="1"/>
    <col min="7173" max="7173" width="56.19921875" style="1" customWidth="1"/>
    <col min="7174" max="7174" width="42.69921875"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34" style="1" customWidth="1"/>
    <col min="7429" max="7429" width="56.19921875" style="1" customWidth="1"/>
    <col min="7430" max="7430" width="42.69921875"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34" style="1" customWidth="1"/>
    <col min="7685" max="7685" width="56.19921875" style="1" customWidth="1"/>
    <col min="7686" max="7686" width="42.69921875"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34" style="1" customWidth="1"/>
    <col min="7941" max="7941" width="56.19921875" style="1" customWidth="1"/>
    <col min="7942" max="7942" width="42.69921875"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34" style="1" customWidth="1"/>
    <col min="8197" max="8197" width="56.19921875" style="1" customWidth="1"/>
    <col min="8198" max="8198" width="42.69921875"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34" style="1" customWidth="1"/>
    <col min="8453" max="8453" width="56.19921875" style="1" customWidth="1"/>
    <col min="8454" max="8454" width="42.69921875"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34" style="1" customWidth="1"/>
    <col min="8709" max="8709" width="56.19921875" style="1" customWidth="1"/>
    <col min="8710" max="8710" width="42.69921875"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34" style="1" customWidth="1"/>
    <col min="8965" max="8965" width="56.19921875" style="1" customWidth="1"/>
    <col min="8966" max="8966" width="42.69921875"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34" style="1" customWidth="1"/>
    <col min="9221" max="9221" width="56.19921875" style="1" customWidth="1"/>
    <col min="9222" max="9222" width="42.69921875"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34" style="1" customWidth="1"/>
    <col min="9477" max="9477" width="56.19921875" style="1" customWidth="1"/>
    <col min="9478" max="9478" width="42.69921875"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34" style="1" customWidth="1"/>
    <col min="9733" max="9733" width="56.19921875" style="1" customWidth="1"/>
    <col min="9734" max="9734" width="42.69921875"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34" style="1" customWidth="1"/>
    <col min="9989" max="9989" width="56.19921875" style="1" customWidth="1"/>
    <col min="9990" max="9990" width="42.69921875"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34" style="1" customWidth="1"/>
    <col min="10245" max="10245" width="56.19921875" style="1" customWidth="1"/>
    <col min="10246" max="10246" width="42.69921875"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34" style="1" customWidth="1"/>
    <col min="10501" max="10501" width="56.19921875" style="1" customWidth="1"/>
    <col min="10502" max="10502" width="42.69921875"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34" style="1" customWidth="1"/>
    <col min="10757" max="10757" width="56.19921875" style="1" customWidth="1"/>
    <col min="10758" max="10758" width="42.69921875"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34" style="1" customWidth="1"/>
    <col min="11013" max="11013" width="56.19921875" style="1" customWidth="1"/>
    <col min="11014" max="11014" width="42.69921875"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34" style="1" customWidth="1"/>
    <col min="11269" max="11269" width="56.19921875" style="1" customWidth="1"/>
    <col min="11270" max="11270" width="42.69921875"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34" style="1" customWidth="1"/>
    <col min="11525" max="11525" width="56.19921875" style="1" customWidth="1"/>
    <col min="11526" max="11526" width="42.69921875"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34" style="1" customWidth="1"/>
    <col min="11781" max="11781" width="56.19921875" style="1" customWidth="1"/>
    <col min="11782" max="11782" width="42.69921875"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34" style="1" customWidth="1"/>
    <col min="12037" max="12037" width="56.19921875" style="1" customWidth="1"/>
    <col min="12038" max="12038" width="42.69921875"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34" style="1" customWidth="1"/>
    <col min="12293" max="12293" width="56.19921875" style="1" customWidth="1"/>
    <col min="12294" max="12294" width="42.69921875"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34" style="1" customWidth="1"/>
    <col min="12549" max="12549" width="56.19921875" style="1" customWidth="1"/>
    <col min="12550" max="12550" width="42.69921875"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34" style="1" customWidth="1"/>
    <col min="12805" max="12805" width="56.19921875" style="1" customWidth="1"/>
    <col min="12806" max="12806" width="42.69921875"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34" style="1" customWidth="1"/>
    <col min="13061" max="13061" width="56.19921875" style="1" customWidth="1"/>
    <col min="13062" max="13062" width="42.69921875"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34" style="1" customWidth="1"/>
    <col min="13317" max="13317" width="56.19921875" style="1" customWidth="1"/>
    <col min="13318" max="13318" width="42.69921875"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34" style="1" customWidth="1"/>
    <col min="13573" max="13573" width="56.19921875" style="1" customWidth="1"/>
    <col min="13574" max="13574" width="42.69921875"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34" style="1" customWidth="1"/>
    <col min="13829" max="13829" width="56.19921875" style="1" customWidth="1"/>
    <col min="13830" max="13830" width="42.69921875"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34" style="1" customWidth="1"/>
    <col min="14085" max="14085" width="56.19921875" style="1" customWidth="1"/>
    <col min="14086" max="14086" width="42.69921875"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34" style="1" customWidth="1"/>
    <col min="14341" max="14341" width="56.19921875" style="1" customWidth="1"/>
    <col min="14342" max="14342" width="42.69921875"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34" style="1" customWidth="1"/>
    <col min="14597" max="14597" width="56.19921875" style="1" customWidth="1"/>
    <col min="14598" max="14598" width="42.69921875"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34" style="1" customWidth="1"/>
    <col min="14853" max="14853" width="56.19921875" style="1" customWidth="1"/>
    <col min="14854" max="14854" width="42.69921875"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34" style="1" customWidth="1"/>
    <col min="15109" max="15109" width="56.19921875" style="1" customWidth="1"/>
    <col min="15110" max="15110" width="42.69921875"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34" style="1" customWidth="1"/>
    <col min="15365" max="15365" width="56.19921875" style="1" customWidth="1"/>
    <col min="15366" max="15366" width="42.69921875"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34" style="1" customWidth="1"/>
    <col min="15621" max="15621" width="56.19921875" style="1" customWidth="1"/>
    <col min="15622" max="15622" width="42.69921875"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34" style="1" customWidth="1"/>
    <col min="15877" max="15877" width="56.19921875" style="1" customWidth="1"/>
    <col min="15878" max="15878" width="42.69921875"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34" style="1" customWidth="1"/>
    <col min="16133" max="16133" width="56.19921875" style="1" customWidth="1"/>
    <col min="16134" max="16134" width="42.69921875"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72" customHeight="1" x14ac:dyDescent="0.25">
      <c r="B3" s="5" t="s">
        <v>88</v>
      </c>
      <c r="C3" s="5" t="s">
        <v>43</v>
      </c>
      <c r="D3" s="5" t="s">
        <v>320</v>
      </c>
      <c r="E3" s="6"/>
      <c r="F3" s="5" t="s">
        <v>321</v>
      </c>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27.05" customHeight="1" x14ac:dyDescent="0.25">
      <c r="B8" s="7" t="s">
        <v>283</v>
      </c>
      <c r="C8" s="5" t="s">
        <v>284</v>
      </c>
      <c r="D8" s="8" t="s">
        <v>322</v>
      </c>
      <c r="E8" s="5"/>
      <c r="F8" s="5"/>
      <c r="G8" s="7"/>
      <c r="H8" s="7"/>
      <c r="I8" s="11"/>
      <c r="J8" s="7"/>
    </row>
    <row r="9" spans="1:10" ht="45" customHeight="1" x14ac:dyDescent="0.25">
      <c r="B9" s="7" t="s">
        <v>24</v>
      </c>
      <c r="C9" s="5" t="s">
        <v>287</v>
      </c>
      <c r="D9" s="8" t="s">
        <v>288</v>
      </c>
      <c r="E9" s="5"/>
      <c r="F9" s="5"/>
      <c r="G9" s="7"/>
      <c r="H9" s="7"/>
      <c r="I9" s="11"/>
      <c r="J9" s="7"/>
    </row>
    <row r="10" spans="1:10" ht="48" customHeight="1" x14ac:dyDescent="0.25">
      <c r="B10" s="7" t="s">
        <v>289</v>
      </c>
      <c r="C10" s="7" t="s">
        <v>290</v>
      </c>
      <c r="D10" s="8" t="s">
        <v>323</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E13" s="9"/>
      <c r="F13" s="9"/>
      <c r="G13" s="9"/>
      <c r="H13" s="9"/>
      <c r="I13" s="11"/>
      <c r="J13" s="9"/>
    </row>
    <row r="14" spans="1:10" ht="14.4" x14ac:dyDescent="0.25">
      <c r="B14" s="90" t="s">
        <v>118</v>
      </c>
      <c r="C14" s="91"/>
      <c r="D14" s="91"/>
      <c r="E14" s="9"/>
      <c r="F14" s="9"/>
      <c r="G14" s="9"/>
      <c r="H14" s="9"/>
      <c r="I14" s="11"/>
      <c r="J14" s="9"/>
    </row>
    <row r="15" spans="1:10" x14ac:dyDescent="0.25">
      <c r="B15" s="4" t="s">
        <v>119</v>
      </c>
      <c r="C15" s="4" t="s">
        <v>120</v>
      </c>
      <c r="D15" s="4" t="s">
        <v>121</v>
      </c>
    </row>
    <row r="16" spans="1:10" x14ac:dyDescent="0.25">
      <c r="B16" s="7" t="s">
        <v>122</v>
      </c>
      <c r="C16" s="7"/>
      <c r="D16" s="7"/>
    </row>
    <row r="17" spans="2:9" x14ac:dyDescent="0.25">
      <c r="I17" s="26"/>
    </row>
    <row r="18" spans="2:9" x14ac:dyDescent="0.25">
      <c r="I18" s="26"/>
    </row>
    <row r="19" spans="2:9" ht="14.4" x14ac:dyDescent="0.25">
      <c r="B19" s="90" t="s">
        <v>324</v>
      </c>
      <c r="C19" s="91"/>
      <c r="D19" s="91"/>
      <c r="I19" s="26"/>
    </row>
    <row r="20" spans="2:9" ht="14.4" x14ac:dyDescent="0.25">
      <c r="B20" s="95" t="s">
        <v>325</v>
      </c>
      <c r="C20" s="96"/>
      <c r="D20" s="23" t="s">
        <v>326</v>
      </c>
    </row>
    <row r="21" spans="2:9" ht="28.8" x14ac:dyDescent="0.25">
      <c r="B21" s="24" t="s">
        <v>327</v>
      </c>
      <c r="C21" s="25" t="s">
        <v>328</v>
      </c>
      <c r="D21" s="19" t="s">
        <v>329</v>
      </c>
    </row>
    <row r="22" spans="2:9" ht="14.4" x14ac:dyDescent="0.25">
      <c r="B22" s="24" t="s">
        <v>330</v>
      </c>
      <c r="C22" s="25" t="s">
        <v>331</v>
      </c>
      <c r="D22" s="19" t="s">
        <v>332</v>
      </c>
    </row>
    <row r="23" spans="2:9" ht="14.4" x14ac:dyDescent="0.25">
      <c r="B23" s="20"/>
      <c r="C23" s="21"/>
      <c r="D23" s="22"/>
    </row>
    <row r="24" spans="2:9" ht="15.6" customHeight="1" x14ac:dyDescent="0.25">
      <c r="B24" s="93" t="s">
        <v>333</v>
      </c>
      <c r="C24" s="94"/>
      <c r="D24" s="93" t="s">
        <v>334</v>
      </c>
      <c r="E24" s="94"/>
    </row>
    <row r="25" spans="2:9" ht="43.2" x14ac:dyDescent="0.25">
      <c r="B25" s="24" t="s">
        <v>330</v>
      </c>
      <c r="C25" s="25" t="s">
        <v>335</v>
      </c>
      <c r="D25" s="25" t="s">
        <v>336</v>
      </c>
      <c r="E25" s="25">
        <f>ROUND(1000/21.75*(21.75-10),2)</f>
        <v>540.23</v>
      </c>
    </row>
    <row r="26" spans="2:9" ht="43.2" x14ac:dyDescent="0.25">
      <c r="B26" s="24" t="s">
        <v>327</v>
      </c>
      <c r="C26" s="25" t="s">
        <v>337</v>
      </c>
      <c r="D26" s="25" t="s">
        <v>338</v>
      </c>
      <c r="E26" s="25">
        <f>ROUND(1000/21.75*2,2)</f>
        <v>91.95</v>
      </c>
    </row>
  </sheetData>
  <mergeCells count="7">
    <mergeCell ref="B24:C24"/>
    <mergeCell ref="D24:E24"/>
    <mergeCell ref="B1:E1"/>
    <mergeCell ref="B6:J6"/>
    <mergeCell ref="B14:D14"/>
    <mergeCell ref="B19:D19"/>
    <mergeCell ref="B20:C20"/>
  </mergeCells>
  <phoneticPr fontId="29" type="noConversion"/>
  <dataValidations count="2">
    <dataValidation type="list" allowBlank="1" showInputMessage="1" showErrorMessage="1" sqref="E3" xr:uid="{00000000-0002-0000-1800-000000000000}">
      <formula1>"通过,部分通过,不通过"</formula1>
    </dataValidation>
    <dataValidation type="list" allowBlank="1" showInputMessage="1" showErrorMessage="1" sqref="H8:H12 H65518:H65522 H131054:H131058 H196590:H196594 H262126:H262130 H327662:H327666 H393198:H393202 H458734:H458738 H524270:H524274 H589806:H589810 H655342:H655346 H720878:H720882 H786414:H786418 H851950:H851954 H917486:H917490 H983022:H983026 JE8:JE12 JE65518:JE65522 JE131054:JE131058 JE196590:JE196594 JE262126:JE262130 JE327662:JE327666 JE393198:JE393202 JE458734:JE458738 JE524270:JE524274 JE589806:JE589810 JE655342:JE655346 JE720878:JE720882 JE786414:JE786418 JE851950:JE851954 JE917486:JE917490 JE983022:JE983026 TA8:TA12 TA65518:TA65522 TA131054:TA131058 TA196590:TA196594 TA262126:TA262130 TA327662:TA327666 TA393198:TA393202 TA458734:TA458738 TA524270:TA524274 TA589806:TA589810 TA655342:TA655346 TA720878:TA720882 TA786414:TA786418 TA851950:TA851954 TA917486:TA917490 TA983022:TA983026 ACW8:ACW12 ACW65518:ACW65522 ACW131054:ACW131058 ACW196590:ACW196594 ACW262126:ACW262130 ACW327662:ACW327666 ACW393198:ACW393202 ACW458734:ACW458738 ACW524270:ACW524274 ACW589806:ACW589810 ACW655342:ACW655346 ACW720878:ACW720882 ACW786414:ACW786418 ACW851950:ACW851954 ACW917486:ACW917490 ACW983022:ACW983026 AMS8:AMS12 AMS65518:AMS65522 AMS131054:AMS131058 AMS196590:AMS196594 AMS262126:AMS262130 AMS327662:AMS327666 AMS393198:AMS393202 AMS458734:AMS458738 AMS524270:AMS524274 AMS589806:AMS589810 AMS655342:AMS655346 AMS720878:AMS720882 AMS786414:AMS786418 AMS851950:AMS851954 AMS917486:AMS917490 AMS983022:AMS983026 AWO8:AWO12 AWO65518:AWO65522 AWO131054:AWO131058 AWO196590:AWO196594 AWO262126:AWO262130 AWO327662:AWO327666 AWO393198:AWO393202 AWO458734:AWO458738 AWO524270:AWO524274 AWO589806:AWO589810 AWO655342:AWO655346 AWO720878:AWO720882 AWO786414:AWO786418 AWO851950:AWO851954 AWO917486:AWO917490 AWO983022:AWO983026 BGK8:BGK12 BGK65518:BGK65522 BGK131054:BGK131058 BGK196590:BGK196594 BGK262126:BGK262130 BGK327662:BGK327666 BGK393198:BGK393202 BGK458734:BGK458738 BGK524270:BGK524274 BGK589806:BGK589810 BGK655342:BGK655346 BGK720878:BGK720882 BGK786414:BGK786418 BGK851950:BGK851954 BGK917486:BGK917490 BGK983022:BGK983026 BQG8:BQG12 BQG65518:BQG65522 BQG131054:BQG131058 BQG196590:BQG196594 BQG262126:BQG262130 BQG327662:BQG327666 BQG393198:BQG393202 BQG458734:BQG458738 BQG524270:BQG524274 BQG589806:BQG589810 BQG655342:BQG655346 BQG720878:BQG720882 BQG786414:BQG786418 BQG851950:BQG851954 BQG917486:BQG917490 BQG983022:BQG983026 CAC8:CAC12 CAC65518:CAC65522 CAC131054:CAC131058 CAC196590:CAC196594 CAC262126:CAC262130 CAC327662:CAC327666 CAC393198:CAC393202 CAC458734:CAC458738 CAC524270:CAC524274 CAC589806:CAC589810 CAC655342:CAC655346 CAC720878:CAC720882 CAC786414:CAC786418 CAC851950:CAC851954 CAC917486:CAC917490 CAC983022:CAC983026 CJY8:CJY12 CJY65518:CJY65522 CJY131054:CJY131058 CJY196590:CJY196594 CJY262126:CJY262130 CJY327662:CJY327666 CJY393198:CJY393202 CJY458734:CJY458738 CJY524270:CJY524274 CJY589806:CJY589810 CJY655342:CJY655346 CJY720878:CJY720882 CJY786414:CJY786418 CJY851950:CJY851954 CJY917486:CJY917490 CJY983022:CJY983026 CTU8:CTU12 CTU65518:CTU65522 CTU131054:CTU131058 CTU196590:CTU196594 CTU262126:CTU262130 CTU327662:CTU327666 CTU393198:CTU393202 CTU458734:CTU458738 CTU524270:CTU524274 CTU589806:CTU589810 CTU655342:CTU655346 CTU720878:CTU720882 CTU786414:CTU786418 CTU851950:CTU851954 CTU917486:CTU917490 CTU983022:CTU983026 DDQ8:DDQ12 DDQ65518:DDQ65522 DDQ131054:DDQ131058 DDQ196590:DDQ196594 DDQ262126:DDQ262130 DDQ327662:DDQ327666 DDQ393198:DDQ393202 DDQ458734:DDQ458738 DDQ524270:DDQ524274 DDQ589806:DDQ589810 DDQ655342:DDQ655346 DDQ720878:DDQ720882 DDQ786414:DDQ786418 DDQ851950:DDQ851954 DDQ917486:DDQ917490 DDQ983022:DDQ983026 DNM8:DNM12 DNM65518:DNM65522 DNM131054:DNM131058 DNM196590:DNM196594 DNM262126:DNM262130 DNM327662:DNM327666 DNM393198:DNM393202 DNM458734:DNM458738 DNM524270:DNM524274 DNM589806:DNM589810 DNM655342:DNM655346 DNM720878:DNM720882 DNM786414:DNM786418 DNM851950:DNM851954 DNM917486:DNM917490 DNM983022:DNM983026 DXI8:DXI12 DXI65518:DXI65522 DXI131054:DXI131058 DXI196590:DXI196594 DXI262126:DXI262130 DXI327662:DXI327666 DXI393198:DXI393202 DXI458734:DXI458738 DXI524270:DXI524274 DXI589806:DXI589810 DXI655342:DXI655346 DXI720878:DXI720882 DXI786414:DXI786418 DXI851950:DXI851954 DXI917486:DXI917490 DXI983022:DXI983026 EHE8:EHE12 EHE65518:EHE65522 EHE131054:EHE131058 EHE196590:EHE196594 EHE262126:EHE262130 EHE327662:EHE327666 EHE393198:EHE393202 EHE458734:EHE458738 EHE524270:EHE524274 EHE589806:EHE589810 EHE655342:EHE655346 EHE720878:EHE720882 EHE786414:EHE786418 EHE851950:EHE851954 EHE917486:EHE917490 EHE983022:EHE983026 ERA8:ERA12 ERA65518:ERA65522 ERA131054:ERA131058 ERA196590:ERA196594 ERA262126:ERA262130 ERA327662:ERA327666 ERA393198:ERA393202 ERA458734:ERA458738 ERA524270:ERA524274 ERA589806:ERA589810 ERA655342:ERA655346 ERA720878:ERA720882 ERA786414:ERA786418 ERA851950:ERA851954 ERA917486:ERA917490 ERA983022:ERA983026 FAW8:FAW12 FAW65518:FAW65522 FAW131054:FAW131058 FAW196590:FAW196594 FAW262126:FAW262130 FAW327662:FAW327666 FAW393198:FAW393202 FAW458734:FAW458738 FAW524270:FAW524274 FAW589806:FAW589810 FAW655342:FAW655346 FAW720878:FAW720882 FAW786414:FAW786418 FAW851950:FAW851954 FAW917486:FAW917490 FAW983022:FAW983026 FKS8:FKS12 FKS65518:FKS65522 FKS131054:FKS131058 FKS196590:FKS196594 FKS262126:FKS262130 FKS327662:FKS327666 FKS393198:FKS393202 FKS458734:FKS458738 FKS524270:FKS524274 FKS589806:FKS589810 FKS655342:FKS655346 FKS720878:FKS720882 FKS786414:FKS786418 FKS851950:FKS851954 FKS917486:FKS917490 FKS983022:FKS983026 FUO8:FUO12 FUO65518:FUO65522 FUO131054:FUO131058 FUO196590:FUO196594 FUO262126:FUO262130 FUO327662:FUO327666 FUO393198:FUO393202 FUO458734:FUO458738 FUO524270:FUO524274 FUO589806:FUO589810 FUO655342:FUO655346 FUO720878:FUO720882 FUO786414:FUO786418 FUO851950:FUO851954 FUO917486:FUO917490 FUO983022:FUO983026 GEK8:GEK12 GEK65518:GEK65522 GEK131054:GEK131058 GEK196590:GEK196594 GEK262126:GEK262130 GEK327662:GEK327666 GEK393198:GEK393202 GEK458734:GEK458738 GEK524270:GEK524274 GEK589806:GEK589810 GEK655342:GEK655346 GEK720878:GEK720882 GEK786414:GEK786418 GEK851950:GEK851954 GEK917486:GEK917490 GEK983022:GEK983026 GOG8:GOG12 GOG65518:GOG65522 GOG131054:GOG131058 GOG196590:GOG196594 GOG262126:GOG262130 GOG327662:GOG327666 GOG393198:GOG393202 GOG458734:GOG458738 GOG524270:GOG524274 GOG589806:GOG589810 GOG655342:GOG655346 GOG720878:GOG720882 GOG786414:GOG786418 GOG851950:GOG851954 GOG917486:GOG917490 GOG983022:GOG983026 GYC8:GYC12 GYC65518:GYC65522 GYC131054:GYC131058 GYC196590:GYC196594 GYC262126:GYC262130 GYC327662:GYC327666 GYC393198:GYC393202 GYC458734:GYC458738 GYC524270:GYC524274 GYC589806:GYC589810 GYC655342:GYC655346 GYC720878:GYC720882 GYC786414:GYC786418 GYC851950:GYC851954 GYC917486:GYC917490 GYC983022:GYC983026 HHY8:HHY12 HHY65518:HHY65522 HHY131054:HHY131058 HHY196590:HHY196594 HHY262126:HHY262130 HHY327662:HHY327666 HHY393198:HHY393202 HHY458734:HHY458738 HHY524270:HHY524274 HHY589806:HHY589810 HHY655342:HHY655346 HHY720878:HHY720882 HHY786414:HHY786418 HHY851950:HHY851954 HHY917486:HHY917490 HHY983022:HHY983026 HRU8:HRU12 HRU65518:HRU65522 HRU131054:HRU131058 HRU196590:HRU196594 HRU262126:HRU262130 HRU327662:HRU327666 HRU393198:HRU393202 HRU458734:HRU458738 HRU524270:HRU524274 HRU589806:HRU589810 HRU655342:HRU655346 HRU720878:HRU720882 HRU786414:HRU786418 HRU851950:HRU851954 HRU917486:HRU917490 HRU983022:HRU983026 IBQ8:IBQ12 IBQ65518:IBQ65522 IBQ131054:IBQ131058 IBQ196590:IBQ196594 IBQ262126:IBQ262130 IBQ327662:IBQ327666 IBQ393198:IBQ393202 IBQ458734:IBQ458738 IBQ524270:IBQ524274 IBQ589806:IBQ589810 IBQ655342:IBQ655346 IBQ720878:IBQ720882 IBQ786414:IBQ786418 IBQ851950:IBQ851954 IBQ917486:IBQ917490 IBQ983022:IBQ983026 ILM8:ILM12 ILM65518:ILM65522 ILM131054:ILM131058 ILM196590:ILM196594 ILM262126:ILM262130 ILM327662:ILM327666 ILM393198:ILM393202 ILM458734:ILM458738 ILM524270:ILM524274 ILM589806:ILM589810 ILM655342:ILM655346 ILM720878:ILM720882 ILM786414:ILM786418 ILM851950:ILM851954 ILM917486:ILM917490 ILM983022:ILM983026 IVI8:IVI12 IVI65518:IVI65522 IVI131054:IVI131058 IVI196590:IVI196594 IVI262126:IVI262130 IVI327662:IVI327666 IVI393198:IVI393202 IVI458734:IVI458738 IVI524270:IVI524274 IVI589806:IVI589810 IVI655342:IVI655346 IVI720878:IVI720882 IVI786414:IVI786418 IVI851950:IVI851954 IVI917486:IVI917490 IVI983022:IVI983026 JFE8:JFE12 JFE65518:JFE65522 JFE131054:JFE131058 JFE196590:JFE196594 JFE262126:JFE262130 JFE327662:JFE327666 JFE393198:JFE393202 JFE458734:JFE458738 JFE524270:JFE524274 JFE589806:JFE589810 JFE655342:JFE655346 JFE720878:JFE720882 JFE786414:JFE786418 JFE851950:JFE851954 JFE917486:JFE917490 JFE983022:JFE983026 JPA8:JPA12 JPA65518:JPA65522 JPA131054:JPA131058 JPA196590:JPA196594 JPA262126:JPA262130 JPA327662:JPA327666 JPA393198:JPA393202 JPA458734:JPA458738 JPA524270:JPA524274 JPA589806:JPA589810 JPA655342:JPA655346 JPA720878:JPA720882 JPA786414:JPA786418 JPA851950:JPA851954 JPA917486:JPA917490 JPA983022:JPA983026 JYW8:JYW12 JYW65518:JYW65522 JYW131054:JYW131058 JYW196590:JYW196594 JYW262126:JYW262130 JYW327662:JYW327666 JYW393198:JYW393202 JYW458734:JYW458738 JYW524270:JYW524274 JYW589806:JYW589810 JYW655342:JYW655346 JYW720878:JYW720882 JYW786414:JYW786418 JYW851950:JYW851954 JYW917486:JYW917490 JYW983022:JYW983026 KIS8:KIS12 KIS65518:KIS65522 KIS131054:KIS131058 KIS196590:KIS196594 KIS262126:KIS262130 KIS327662:KIS327666 KIS393198:KIS393202 KIS458734:KIS458738 KIS524270:KIS524274 KIS589806:KIS589810 KIS655342:KIS655346 KIS720878:KIS720882 KIS786414:KIS786418 KIS851950:KIS851954 KIS917486:KIS917490 KIS983022:KIS983026 KSO8:KSO12 KSO65518:KSO65522 KSO131054:KSO131058 KSO196590:KSO196594 KSO262126:KSO262130 KSO327662:KSO327666 KSO393198:KSO393202 KSO458734:KSO458738 KSO524270:KSO524274 KSO589806:KSO589810 KSO655342:KSO655346 KSO720878:KSO720882 KSO786414:KSO786418 KSO851950:KSO851954 KSO917486:KSO917490 KSO983022:KSO983026 LCK8:LCK12 LCK65518:LCK65522 LCK131054:LCK131058 LCK196590:LCK196594 LCK262126:LCK262130 LCK327662:LCK327666 LCK393198:LCK393202 LCK458734:LCK458738 LCK524270:LCK524274 LCK589806:LCK589810 LCK655342:LCK655346 LCK720878:LCK720882 LCK786414:LCK786418 LCK851950:LCK851954 LCK917486:LCK917490 LCK983022:LCK983026 LMG8:LMG12 LMG65518:LMG65522 LMG131054:LMG131058 LMG196590:LMG196594 LMG262126:LMG262130 LMG327662:LMG327666 LMG393198:LMG393202 LMG458734:LMG458738 LMG524270:LMG524274 LMG589806:LMG589810 LMG655342:LMG655346 LMG720878:LMG720882 LMG786414:LMG786418 LMG851950:LMG851954 LMG917486:LMG917490 LMG983022:LMG983026 LWC8:LWC12 LWC65518:LWC65522 LWC131054:LWC131058 LWC196590:LWC196594 LWC262126:LWC262130 LWC327662:LWC327666 LWC393198:LWC393202 LWC458734:LWC458738 LWC524270:LWC524274 LWC589806:LWC589810 LWC655342:LWC655346 LWC720878:LWC720882 LWC786414:LWC786418 LWC851950:LWC851954 LWC917486:LWC917490 LWC983022:LWC983026 MFY8:MFY12 MFY65518:MFY65522 MFY131054:MFY131058 MFY196590:MFY196594 MFY262126:MFY262130 MFY327662:MFY327666 MFY393198:MFY393202 MFY458734:MFY458738 MFY524270:MFY524274 MFY589806:MFY589810 MFY655342:MFY655346 MFY720878:MFY720882 MFY786414:MFY786418 MFY851950:MFY851954 MFY917486:MFY917490 MFY983022:MFY983026 MPU8:MPU12 MPU65518:MPU65522 MPU131054:MPU131058 MPU196590:MPU196594 MPU262126:MPU262130 MPU327662:MPU327666 MPU393198:MPU393202 MPU458734:MPU458738 MPU524270:MPU524274 MPU589806:MPU589810 MPU655342:MPU655346 MPU720878:MPU720882 MPU786414:MPU786418 MPU851950:MPU851954 MPU917486:MPU917490 MPU983022:MPU983026 MZQ8:MZQ12 MZQ65518:MZQ65522 MZQ131054:MZQ131058 MZQ196590:MZQ196594 MZQ262126:MZQ262130 MZQ327662:MZQ327666 MZQ393198:MZQ393202 MZQ458734:MZQ458738 MZQ524270:MZQ524274 MZQ589806:MZQ589810 MZQ655342:MZQ655346 MZQ720878:MZQ720882 MZQ786414:MZQ786418 MZQ851950:MZQ851954 MZQ917486:MZQ917490 MZQ983022:MZQ983026 NJM8:NJM12 NJM65518:NJM65522 NJM131054:NJM131058 NJM196590:NJM196594 NJM262126:NJM262130 NJM327662:NJM327666 NJM393198:NJM393202 NJM458734:NJM458738 NJM524270:NJM524274 NJM589806:NJM589810 NJM655342:NJM655346 NJM720878:NJM720882 NJM786414:NJM786418 NJM851950:NJM851954 NJM917486:NJM917490 NJM983022:NJM983026 NTI8:NTI12 NTI65518:NTI65522 NTI131054:NTI131058 NTI196590:NTI196594 NTI262126:NTI262130 NTI327662:NTI327666 NTI393198:NTI393202 NTI458734:NTI458738 NTI524270:NTI524274 NTI589806:NTI589810 NTI655342:NTI655346 NTI720878:NTI720882 NTI786414:NTI786418 NTI851950:NTI851954 NTI917486:NTI917490 NTI983022:NTI983026 ODE8:ODE12 ODE65518:ODE65522 ODE131054:ODE131058 ODE196590:ODE196594 ODE262126:ODE262130 ODE327662:ODE327666 ODE393198:ODE393202 ODE458734:ODE458738 ODE524270:ODE524274 ODE589806:ODE589810 ODE655342:ODE655346 ODE720878:ODE720882 ODE786414:ODE786418 ODE851950:ODE851954 ODE917486:ODE917490 ODE983022:ODE983026 ONA8:ONA12 ONA65518:ONA65522 ONA131054:ONA131058 ONA196590:ONA196594 ONA262126:ONA262130 ONA327662:ONA327666 ONA393198:ONA393202 ONA458734:ONA458738 ONA524270:ONA524274 ONA589806:ONA589810 ONA655342:ONA655346 ONA720878:ONA720882 ONA786414:ONA786418 ONA851950:ONA851954 ONA917486:ONA917490 ONA983022:ONA983026 OWW8:OWW12 OWW65518:OWW65522 OWW131054:OWW131058 OWW196590:OWW196594 OWW262126:OWW262130 OWW327662:OWW327666 OWW393198:OWW393202 OWW458734:OWW458738 OWW524270:OWW524274 OWW589806:OWW589810 OWW655342:OWW655346 OWW720878:OWW720882 OWW786414:OWW786418 OWW851950:OWW851954 OWW917486:OWW917490 OWW983022:OWW983026 PGS8:PGS12 PGS65518:PGS65522 PGS131054:PGS131058 PGS196590:PGS196594 PGS262126:PGS262130 PGS327662:PGS327666 PGS393198:PGS393202 PGS458734:PGS458738 PGS524270:PGS524274 PGS589806:PGS589810 PGS655342:PGS655346 PGS720878:PGS720882 PGS786414:PGS786418 PGS851950:PGS851954 PGS917486:PGS917490 PGS983022:PGS983026 PQO8:PQO12 PQO65518:PQO65522 PQO131054:PQO131058 PQO196590:PQO196594 PQO262126:PQO262130 PQO327662:PQO327666 PQO393198:PQO393202 PQO458734:PQO458738 PQO524270:PQO524274 PQO589806:PQO589810 PQO655342:PQO655346 PQO720878:PQO720882 PQO786414:PQO786418 PQO851950:PQO851954 PQO917486:PQO917490 PQO983022:PQO983026 QAK8:QAK12 QAK65518:QAK65522 QAK131054:QAK131058 QAK196590:QAK196594 QAK262126:QAK262130 QAK327662:QAK327666 QAK393198:QAK393202 QAK458734:QAK458738 QAK524270:QAK524274 QAK589806:QAK589810 QAK655342:QAK655346 QAK720878:QAK720882 QAK786414:QAK786418 QAK851950:QAK851954 QAK917486:QAK917490 QAK983022:QAK983026 QKG8:QKG12 QKG65518:QKG65522 QKG131054:QKG131058 QKG196590:QKG196594 QKG262126:QKG262130 QKG327662:QKG327666 QKG393198:QKG393202 QKG458734:QKG458738 QKG524270:QKG524274 QKG589806:QKG589810 QKG655342:QKG655346 QKG720878:QKG720882 QKG786414:QKG786418 QKG851950:QKG851954 QKG917486:QKG917490 QKG983022:QKG983026 QUC8:QUC12 QUC65518:QUC65522 QUC131054:QUC131058 QUC196590:QUC196594 QUC262126:QUC262130 QUC327662:QUC327666 QUC393198:QUC393202 QUC458734:QUC458738 QUC524270:QUC524274 QUC589806:QUC589810 QUC655342:QUC655346 QUC720878:QUC720882 QUC786414:QUC786418 QUC851950:QUC851954 QUC917486:QUC917490 QUC983022:QUC983026 RDY8:RDY12 RDY65518:RDY65522 RDY131054:RDY131058 RDY196590:RDY196594 RDY262126:RDY262130 RDY327662:RDY327666 RDY393198:RDY393202 RDY458734:RDY458738 RDY524270:RDY524274 RDY589806:RDY589810 RDY655342:RDY655346 RDY720878:RDY720882 RDY786414:RDY786418 RDY851950:RDY851954 RDY917486:RDY917490 RDY983022:RDY983026 RNU8:RNU12 RNU65518:RNU65522 RNU131054:RNU131058 RNU196590:RNU196594 RNU262126:RNU262130 RNU327662:RNU327666 RNU393198:RNU393202 RNU458734:RNU458738 RNU524270:RNU524274 RNU589806:RNU589810 RNU655342:RNU655346 RNU720878:RNU720882 RNU786414:RNU786418 RNU851950:RNU851954 RNU917486:RNU917490 RNU983022:RNU983026 RXQ8:RXQ12 RXQ65518:RXQ65522 RXQ131054:RXQ131058 RXQ196590:RXQ196594 RXQ262126:RXQ262130 RXQ327662:RXQ327666 RXQ393198:RXQ393202 RXQ458734:RXQ458738 RXQ524270:RXQ524274 RXQ589806:RXQ589810 RXQ655342:RXQ655346 RXQ720878:RXQ720882 RXQ786414:RXQ786418 RXQ851950:RXQ851954 RXQ917486:RXQ917490 RXQ983022:RXQ983026 SHM8:SHM12 SHM65518:SHM65522 SHM131054:SHM131058 SHM196590:SHM196594 SHM262126:SHM262130 SHM327662:SHM327666 SHM393198:SHM393202 SHM458734:SHM458738 SHM524270:SHM524274 SHM589806:SHM589810 SHM655342:SHM655346 SHM720878:SHM720882 SHM786414:SHM786418 SHM851950:SHM851954 SHM917486:SHM917490 SHM983022:SHM983026 SRI8:SRI12 SRI65518:SRI65522 SRI131054:SRI131058 SRI196590:SRI196594 SRI262126:SRI262130 SRI327662:SRI327666 SRI393198:SRI393202 SRI458734:SRI458738 SRI524270:SRI524274 SRI589806:SRI589810 SRI655342:SRI655346 SRI720878:SRI720882 SRI786414:SRI786418 SRI851950:SRI851954 SRI917486:SRI917490 SRI983022:SRI983026 TBE8:TBE12 TBE65518:TBE65522 TBE131054:TBE131058 TBE196590:TBE196594 TBE262126:TBE262130 TBE327662:TBE327666 TBE393198:TBE393202 TBE458734:TBE458738 TBE524270:TBE524274 TBE589806:TBE589810 TBE655342:TBE655346 TBE720878:TBE720882 TBE786414:TBE786418 TBE851950:TBE851954 TBE917486:TBE917490 TBE983022:TBE983026 TLA8:TLA12 TLA65518:TLA65522 TLA131054:TLA131058 TLA196590:TLA196594 TLA262126:TLA262130 TLA327662:TLA327666 TLA393198:TLA393202 TLA458734:TLA458738 TLA524270:TLA524274 TLA589806:TLA589810 TLA655342:TLA655346 TLA720878:TLA720882 TLA786414:TLA786418 TLA851950:TLA851954 TLA917486:TLA917490 TLA983022:TLA983026 TUW8:TUW12 TUW65518:TUW65522 TUW131054:TUW131058 TUW196590:TUW196594 TUW262126:TUW262130 TUW327662:TUW327666 TUW393198:TUW393202 TUW458734:TUW458738 TUW524270:TUW524274 TUW589806:TUW589810 TUW655342:TUW655346 TUW720878:TUW720882 TUW786414:TUW786418 TUW851950:TUW851954 TUW917486:TUW917490 TUW983022:TUW983026 UES8:UES12 UES65518:UES65522 UES131054:UES131058 UES196590:UES196594 UES262126:UES262130 UES327662:UES327666 UES393198:UES393202 UES458734:UES458738 UES524270:UES524274 UES589806:UES589810 UES655342:UES655346 UES720878:UES720882 UES786414:UES786418 UES851950:UES851954 UES917486:UES917490 UES983022:UES983026 UOO8:UOO12 UOO65518:UOO65522 UOO131054:UOO131058 UOO196590:UOO196594 UOO262126:UOO262130 UOO327662:UOO327666 UOO393198:UOO393202 UOO458734:UOO458738 UOO524270:UOO524274 UOO589806:UOO589810 UOO655342:UOO655346 UOO720878:UOO720882 UOO786414:UOO786418 UOO851950:UOO851954 UOO917486:UOO917490 UOO983022:UOO983026 UYK8:UYK12 UYK65518:UYK65522 UYK131054:UYK131058 UYK196590:UYK196594 UYK262126:UYK262130 UYK327662:UYK327666 UYK393198:UYK393202 UYK458734:UYK458738 UYK524270:UYK524274 UYK589806:UYK589810 UYK655342:UYK655346 UYK720878:UYK720882 UYK786414:UYK786418 UYK851950:UYK851954 UYK917486:UYK917490 UYK983022:UYK983026 VIG8:VIG12 VIG65518:VIG65522 VIG131054:VIG131058 VIG196590:VIG196594 VIG262126:VIG262130 VIG327662:VIG327666 VIG393198:VIG393202 VIG458734:VIG458738 VIG524270:VIG524274 VIG589806:VIG589810 VIG655342:VIG655346 VIG720878:VIG720882 VIG786414:VIG786418 VIG851950:VIG851954 VIG917486:VIG917490 VIG983022:VIG983026 VSC8:VSC12 VSC65518:VSC65522 VSC131054:VSC131058 VSC196590:VSC196594 VSC262126:VSC262130 VSC327662:VSC327666 VSC393198:VSC393202 VSC458734:VSC458738 VSC524270:VSC524274 VSC589806:VSC589810 VSC655342:VSC655346 VSC720878:VSC720882 VSC786414:VSC786418 VSC851950:VSC851954 VSC917486:VSC917490 VSC983022:VSC983026 WBY8:WBY12 WBY65518:WBY65522 WBY131054:WBY131058 WBY196590:WBY196594 WBY262126:WBY262130 WBY327662:WBY327666 WBY393198:WBY393202 WBY458734:WBY458738 WBY524270:WBY524274 WBY589806:WBY589810 WBY655342:WBY655346 WBY720878:WBY720882 WBY786414:WBY786418 WBY851950:WBY851954 WBY917486:WBY917490 WBY983022:WBY983026 WLU8:WLU12 WLU65518:WLU65522 WLU131054:WLU131058 WLU196590:WLU196594 WLU262126:WLU262130 WLU327662:WLU327666 WLU393198:WLU393202 WLU458734:WLU458738 WLU524270:WLU524274 WLU589806:WLU589810 WLU655342:WLU655346 WLU720878:WLU720882 WLU786414:WLU786418 WLU851950:WLU851954 WLU917486:WLU917490 WLU983022:WLU983026 WVQ8:WVQ12 WVQ65518:WVQ65522 WVQ131054:WVQ131058 WVQ196590:WVQ196594 WVQ262126:WVQ262130 WVQ327662:WVQ327666 WVQ393198:WVQ393202 WVQ458734:WVQ458738 WVQ524270:WVQ524274 WVQ589806:WVQ589810 WVQ655342:WVQ655346 WVQ720878:WVQ720882 WVQ786414:WVQ786418 WVQ851950:WVQ851954 WVQ917486:WVQ917490 WVQ983022:WVQ983026" xr:uid="{00000000-0002-0000-1800-000001000000}">
      <formula1>"正确,错误"</formula1>
    </dataValidation>
  </dataValidations>
  <hyperlinks>
    <hyperlink ref="A1" location="UAT测试案例清单!A1" display="返回" xr:uid="{00000000-0004-0000-18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J21"/>
  <sheetViews>
    <sheetView zoomScale="80" zoomScaleNormal="80" workbookViewId="0">
      <selection activeCell="B20" sqref="B20:D20"/>
    </sheetView>
  </sheetViews>
  <sheetFormatPr defaultColWidth="9" defaultRowHeight="12" x14ac:dyDescent="0.25"/>
  <cols>
    <col min="1" max="1" width="6.59765625" style="1" customWidth="1"/>
    <col min="2" max="2" width="19.69921875" style="1" customWidth="1"/>
    <col min="3" max="3" width="25.69921875" style="1" customWidth="1"/>
    <col min="4" max="4" width="51.69921875" style="1" customWidth="1"/>
    <col min="5" max="5" width="42.69921875"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51.69921875" style="1" customWidth="1"/>
    <col min="262" max="262" width="42.69921875"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51.69921875" style="1" customWidth="1"/>
    <col min="518" max="518" width="42.69921875"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51.69921875" style="1" customWidth="1"/>
    <col min="774" max="774" width="42.69921875"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51.69921875" style="1" customWidth="1"/>
    <col min="1030" max="1030" width="42.69921875"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51.69921875" style="1" customWidth="1"/>
    <col min="1286" max="1286" width="42.69921875"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51.69921875" style="1" customWidth="1"/>
    <col min="1542" max="1542" width="42.69921875"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51.69921875" style="1" customWidth="1"/>
    <col min="1798" max="1798" width="42.69921875"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51.69921875" style="1" customWidth="1"/>
    <col min="2054" max="2054" width="42.69921875"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51.69921875" style="1" customWidth="1"/>
    <col min="2310" max="2310" width="42.69921875"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51.69921875" style="1" customWidth="1"/>
    <col min="2566" max="2566" width="42.69921875"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51.69921875" style="1" customWidth="1"/>
    <col min="2822" max="2822" width="42.69921875"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51.69921875" style="1" customWidth="1"/>
    <col min="3078" max="3078" width="42.69921875"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51.69921875" style="1" customWidth="1"/>
    <col min="3334" max="3334" width="42.69921875"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51.69921875" style="1" customWidth="1"/>
    <col min="3590" max="3590" width="42.69921875"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51.69921875" style="1" customWidth="1"/>
    <col min="3846" max="3846" width="42.69921875"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51.69921875" style="1" customWidth="1"/>
    <col min="4102" max="4102" width="42.69921875"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51.69921875" style="1" customWidth="1"/>
    <col min="4358" max="4358" width="42.69921875"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51.69921875" style="1" customWidth="1"/>
    <col min="4614" max="4614" width="42.69921875"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51.69921875" style="1" customWidth="1"/>
    <col min="4870" max="4870" width="42.69921875"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51.69921875" style="1" customWidth="1"/>
    <col min="5126" max="5126" width="42.69921875"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51.69921875" style="1" customWidth="1"/>
    <col min="5382" max="5382" width="42.69921875"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51.69921875" style="1" customWidth="1"/>
    <col min="5638" max="5638" width="42.69921875"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51.69921875" style="1" customWidth="1"/>
    <col min="5894" max="5894" width="42.69921875"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51.69921875" style="1" customWidth="1"/>
    <col min="6150" max="6150" width="42.69921875"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51.69921875" style="1" customWidth="1"/>
    <col min="6406" max="6406" width="42.69921875"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51.69921875" style="1" customWidth="1"/>
    <col min="6662" max="6662" width="42.69921875"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51.69921875" style="1" customWidth="1"/>
    <col min="6918" max="6918" width="42.69921875"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51.69921875" style="1" customWidth="1"/>
    <col min="7174" max="7174" width="42.69921875"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51.69921875" style="1" customWidth="1"/>
    <col min="7430" max="7430" width="42.69921875"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51.69921875" style="1" customWidth="1"/>
    <col min="7686" max="7686" width="42.69921875"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51.69921875" style="1" customWidth="1"/>
    <col min="7942" max="7942" width="42.69921875"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51.69921875" style="1" customWidth="1"/>
    <col min="8198" max="8198" width="42.69921875"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51.69921875" style="1" customWidth="1"/>
    <col min="8454" max="8454" width="42.69921875"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51.69921875" style="1" customWidth="1"/>
    <col min="8710" max="8710" width="42.69921875"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51.69921875" style="1" customWidth="1"/>
    <col min="8966" max="8966" width="42.69921875"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51.69921875" style="1" customWidth="1"/>
    <col min="9222" max="9222" width="42.69921875"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51.69921875" style="1" customWidth="1"/>
    <col min="9478" max="9478" width="42.69921875"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51.69921875" style="1" customWidth="1"/>
    <col min="9734" max="9734" width="42.69921875"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51.69921875" style="1" customWidth="1"/>
    <col min="9990" max="9990" width="42.69921875"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51.69921875" style="1" customWidth="1"/>
    <col min="10246" max="10246" width="42.69921875"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51.69921875" style="1" customWidth="1"/>
    <col min="10502" max="10502" width="42.69921875"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51.69921875" style="1" customWidth="1"/>
    <col min="10758" max="10758" width="42.69921875"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51.69921875" style="1" customWidth="1"/>
    <col min="11014" max="11014" width="42.69921875"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51.69921875" style="1" customWidth="1"/>
    <col min="11270" max="11270" width="42.69921875"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51.69921875" style="1" customWidth="1"/>
    <col min="11526" max="11526" width="42.69921875"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51.69921875" style="1" customWidth="1"/>
    <col min="11782" max="11782" width="42.69921875"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51.69921875" style="1" customWidth="1"/>
    <col min="12038" max="12038" width="42.69921875"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51.69921875" style="1" customWidth="1"/>
    <col min="12294" max="12294" width="42.69921875"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51.69921875" style="1" customWidth="1"/>
    <col min="12550" max="12550" width="42.69921875"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51.69921875" style="1" customWidth="1"/>
    <col min="12806" max="12806" width="42.69921875"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51.69921875" style="1" customWidth="1"/>
    <col min="13062" max="13062" width="42.69921875"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51.69921875" style="1" customWidth="1"/>
    <col min="13318" max="13318" width="42.69921875"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51.69921875" style="1" customWidth="1"/>
    <col min="13574" max="13574" width="42.69921875"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51.69921875" style="1" customWidth="1"/>
    <col min="13830" max="13830" width="42.69921875"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51.69921875" style="1" customWidth="1"/>
    <col min="14086" max="14086" width="42.69921875"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51.69921875" style="1" customWidth="1"/>
    <col min="14342" max="14342" width="42.69921875"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51.69921875" style="1" customWidth="1"/>
    <col min="14598" max="14598" width="42.69921875"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51.69921875" style="1" customWidth="1"/>
    <col min="14854" max="14854" width="42.69921875"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51.69921875" style="1" customWidth="1"/>
    <col min="15110" max="15110" width="42.69921875"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51.69921875" style="1" customWidth="1"/>
    <col min="15366" max="15366" width="42.69921875"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51.69921875" style="1" customWidth="1"/>
    <col min="15622" max="15622" width="42.69921875"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51.69921875" style="1" customWidth="1"/>
    <col min="15878" max="15878" width="42.69921875"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51.69921875" style="1" customWidth="1"/>
    <col min="16134" max="16134" width="42.69921875"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72" customHeight="1" x14ac:dyDescent="0.25">
      <c r="B3" s="5" t="s">
        <v>88</v>
      </c>
      <c r="C3" s="5" t="s">
        <v>45</v>
      </c>
      <c r="D3" s="5" t="s">
        <v>46</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62.55" customHeight="1" x14ac:dyDescent="0.25">
      <c r="B8" s="7" t="s">
        <v>339</v>
      </c>
      <c r="C8" s="5" t="s">
        <v>340</v>
      </c>
      <c r="D8" s="5" t="s">
        <v>341</v>
      </c>
      <c r="E8" s="5"/>
      <c r="F8" s="5"/>
      <c r="G8" s="7"/>
      <c r="H8" s="7"/>
      <c r="I8" s="11"/>
      <c r="J8" s="7"/>
    </row>
    <row r="9" spans="1:10" ht="52.5" customHeight="1" x14ac:dyDescent="0.25">
      <c r="B9" s="7" t="s">
        <v>342</v>
      </c>
      <c r="C9" s="5" t="s">
        <v>340</v>
      </c>
      <c r="D9" s="5" t="s">
        <v>343</v>
      </c>
      <c r="E9" s="5"/>
      <c r="F9" s="5"/>
      <c r="G9" s="7"/>
      <c r="H9" s="7"/>
      <c r="I9" s="11"/>
      <c r="J9" s="7"/>
    </row>
    <row r="10" spans="1:10" ht="76.05" customHeight="1" x14ac:dyDescent="0.25">
      <c r="B10" s="7" t="s">
        <v>344</v>
      </c>
      <c r="C10" s="5" t="s">
        <v>345</v>
      </c>
      <c r="D10" s="5" t="s">
        <v>346</v>
      </c>
      <c r="E10" s="5"/>
      <c r="F10" s="5"/>
      <c r="G10" s="7"/>
      <c r="H10" s="7"/>
      <c r="I10" s="11"/>
      <c r="J10" s="7"/>
    </row>
    <row r="11" spans="1:10" ht="100.95" customHeight="1" x14ac:dyDescent="0.25">
      <c r="B11" s="7" t="s">
        <v>283</v>
      </c>
      <c r="C11" s="5" t="s">
        <v>284</v>
      </c>
      <c r="D11" s="8" t="s">
        <v>347</v>
      </c>
      <c r="E11" s="5"/>
      <c r="F11" s="5"/>
      <c r="G11" s="7"/>
      <c r="H11" s="7"/>
      <c r="I11" s="11"/>
      <c r="J11" s="7"/>
    </row>
    <row r="12" spans="1:10" ht="48" customHeight="1" x14ac:dyDescent="0.25">
      <c r="B12" s="7" t="s">
        <v>24</v>
      </c>
      <c r="C12" s="5" t="s">
        <v>287</v>
      </c>
      <c r="D12" s="8" t="s">
        <v>288</v>
      </c>
      <c r="E12" s="5"/>
      <c r="F12" s="5"/>
      <c r="G12" s="7"/>
      <c r="H12" s="7"/>
      <c r="I12" s="11"/>
      <c r="J12" s="7"/>
    </row>
    <row r="13" spans="1:10" ht="48" x14ac:dyDescent="0.25">
      <c r="B13" s="7" t="s">
        <v>289</v>
      </c>
      <c r="C13" s="7" t="s">
        <v>290</v>
      </c>
      <c r="D13" s="8" t="s">
        <v>348</v>
      </c>
      <c r="E13" s="5"/>
      <c r="F13" s="5"/>
      <c r="G13" s="7"/>
      <c r="H13" s="7"/>
      <c r="I13" s="11"/>
      <c r="J13" s="7"/>
    </row>
    <row r="14" spans="1:10" x14ac:dyDescent="0.25">
      <c r="B14" s="7"/>
      <c r="C14" s="7"/>
      <c r="D14" s="8"/>
      <c r="E14" s="5"/>
      <c r="F14" s="5"/>
      <c r="G14" s="7"/>
      <c r="H14" s="7"/>
      <c r="I14" s="11"/>
      <c r="J14" s="7"/>
    </row>
    <row r="15" spans="1:10" x14ac:dyDescent="0.25">
      <c r="B15" s="7"/>
      <c r="C15" s="7"/>
      <c r="D15" s="8"/>
      <c r="E15" s="5"/>
      <c r="F15" s="5"/>
      <c r="G15" s="7"/>
      <c r="H15" s="7"/>
      <c r="I15" s="11"/>
      <c r="J15" s="7"/>
    </row>
    <row r="16" spans="1:10" x14ac:dyDescent="0.25">
      <c r="B16" s="7"/>
      <c r="C16" s="7"/>
      <c r="D16" s="8"/>
      <c r="E16" s="5"/>
      <c r="F16" s="5"/>
      <c r="G16" s="7"/>
      <c r="H16" s="7"/>
      <c r="I16" s="11"/>
      <c r="J16" s="7"/>
    </row>
    <row r="17" spans="2:10" x14ac:dyDescent="0.25">
      <c r="B17" s="7"/>
      <c r="C17" s="7"/>
      <c r="D17" s="8"/>
      <c r="E17" s="5"/>
      <c r="F17" s="5"/>
      <c r="G17" s="7"/>
      <c r="H17" s="7"/>
      <c r="I17" s="11"/>
      <c r="J17" s="7"/>
    </row>
    <row r="18" spans="2:10" x14ac:dyDescent="0.25">
      <c r="E18" s="9"/>
      <c r="F18" s="9"/>
      <c r="G18" s="9"/>
      <c r="H18" s="9"/>
      <c r="I18" s="11"/>
      <c r="J18" s="9"/>
    </row>
    <row r="19" spans="2:10" ht="14.4" x14ac:dyDescent="0.25">
      <c r="B19" s="90" t="s">
        <v>118</v>
      </c>
      <c r="C19" s="91"/>
      <c r="D19" s="91"/>
      <c r="E19" s="9"/>
      <c r="F19" s="9"/>
      <c r="G19" s="9"/>
      <c r="H19" s="9"/>
      <c r="I19" s="11"/>
      <c r="J19" s="9"/>
    </row>
    <row r="20" spans="2:10" x14ac:dyDescent="0.25">
      <c r="B20" s="4" t="s">
        <v>119</v>
      </c>
      <c r="C20" s="4" t="s">
        <v>120</v>
      </c>
      <c r="D20" s="4" t="s">
        <v>121</v>
      </c>
    </row>
    <row r="21" spans="2:10" x14ac:dyDescent="0.25">
      <c r="B21" s="7" t="s">
        <v>122</v>
      </c>
      <c r="C21" s="7"/>
      <c r="D21" s="7"/>
    </row>
  </sheetData>
  <mergeCells count="3">
    <mergeCell ref="B1:E1"/>
    <mergeCell ref="B6:J6"/>
    <mergeCell ref="B19:D19"/>
  </mergeCells>
  <phoneticPr fontId="29" type="noConversion"/>
  <dataValidations count="2">
    <dataValidation type="list" allowBlank="1" showInputMessage="1" showErrorMessage="1" sqref="E3" xr:uid="{00000000-0002-0000-1900-000000000000}">
      <formula1>"通过,部分通过,不通过"</formula1>
    </dataValidation>
    <dataValidation type="list" allowBlank="1" showInputMessage="1" showErrorMessage="1" sqref="H8:H17 H65544:H65553 H131080:H131089 H196616:H196625 H262152:H262161 H327688:H327697 H393224:H393233 H458760:H458769 H524296:H524305 H589832:H589841 H655368:H655377 H720904:H720913 H786440:H786449 H851976:H851985 H917512:H917521 H983048:H983057 JE8:JE17 JE65544:JE65553 JE131080:JE131089 JE196616:JE196625 JE262152:JE262161 JE327688:JE327697 JE393224:JE393233 JE458760:JE458769 JE524296:JE524305 JE589832:JE589841 JE655368:JE655377 JE720904:JE720913 JE786440:JE786449 JE851976:JE851985 JE917512:JE917521 JE983048:JE983057 TA8:TA17 TA65544:TA65553 TA131080:TA131089 TA196616:TA196625 TA262152:TA262161 TA327688:TA327697 TA393224:TA393233 TA458760:TA458769 TA524296:TA524305 TA589832:TA589841 TA655368:TA655377 TA720904:TA720913 TA786440:TA786449 TA851976:TA851985 TA917512:TA917521 TA983048:TA983057 ACW8:ACW17 ACW65544:ACW65553 ACW131080:ACW131089 ACW196616:ACW196625 ACW262152:ACW262161 ACW327688:ACW327697 ACW393224:ACW393233 ACW458760:ACW458769 ACW524296:ACW524305 ACW589832:ACW589841 ACW655368:ACW655377 ACW720904:ACW720913 ACW786440:ACW786449 ACW851976:ACW851985 ACW917512:ACW917521 ACW983048:ACW983057 AMS8:AMS17 AMS65544:AMS65553 AMS131080:AMS131089 AMS196616:AMS196625 AMS262152:AMS262161 AMS327688:AMS327697 AMS393224:AMS393233 AMS458760:AMS458769 AMS524296:AMS524305 AMS589832:AMS589841 AMS655368:AMS655377 AMS720904:AMS720913 AMS786440:AMS786449 AMS851976:AMS851985 AMS917512:AMS917521 AMS983048:AMS983057 AWO8:AWO17 AWO65544:AWO65553 AWO131080:AWO131089 AWO196616:AWO196625 AWO262152:AWO262161 AWO327688:AWO327697 AWO393224:AWO393233 AWO458760:AWO458769 AWO524296:AWO524305 AWO589832:AWO589841 AWO655368:AWO655377 AWO720904:AWO720913 AWO786440:AWO786449 AWO851976:AWO851985 AWO917512:AWO917521 AWO983048:AWO983057 BGK8:BGK17 BGK65544:BGK65553 BGK131080:BGK131089 BGK196616:BGK196625 BGK262152:BGK262161 BGK327688:BGK327697 BGK393224:BGK393233 BGK458760:BGK458769 BGK524296:BGK524305 BGK589832:BGK589841 BGK655368:BGK655377 BGK720904:BGK720913 BGK786440:BGK786449 BGK851976:BGK851985 BGK917512:BGK917521 BGK983048:BGK983057 BQG8:BQG17 BQG65544:BQG65553 BQG131080:BQG131089 BQG196616:BQG196625 BQG262152:BQG262161 BQG327688:BQG327697 BQG393224:BQG393233 BQG458760:BQG458769 BQG524296:BQG524305 BQG589832:BQG589841 BQG655368:BQG655377 BQG720904:BQG720913 BQG786440:BQG786449 BQG851976:BQG851985 BQG917512:BQG917521 BQG983048:BQG983057 CAC8:CAC17 CAC65544:CAC65553 CAC131080:CAC131089 CAC196616:CAC196625 CAC262152:CAC262161 CAC327688:CAC327697 CAC393224:CAC393233 CAC458760:CAC458769 CAC524296:CAC524305 CAC589832:CAC589841 CAC655368:CAC655377 CAC720904:CAC720913 CAC786440:CAC786449 CAC851976:CAC851985 CAC917512:CAC917521 CAC983048:CAC983057 CJY8:CJY17 CJY65544:CJY65553 CJY131080:CJY131089 CJY196616:CJY196625 CJY262152:CJY262161 CJY327688:CJY327697 CJY393224:CJY393233 CJY458760:CJY458769 CJY524296:CJY524305 CJY589832:CJY589841 CJY655368:CJY655377 CJY720904:CJY720913 CJY786440:CJY786449 CJY851976:CJY851985 CJY917512:CJY917521 CJY983048:CJY983057 CTU8:CTU17 CTU65544:CTU65553 CTU131080:CTU131089 CTU196616:CTU196625 CTU262152:CTU262161 CTU327688:CTU327697 CTU393224:CTU393233 CTU458760:CTU458769 CTU524296:CTU524305 CTU589832:CTU589841 CTU655368:CTU655377 CTU720904:CTU720913 CTU786440:CTU786449 CTU851976:CTU851985 CTU917512:CTU917521 CTU983048:CTU983057 DDQ8:DDQ17 DDQ65544:DDQ65553 DDQ131080:DDQ131089 DDQ196616:DDQ196625 DDQ262152:DDQ262161 DDQ327688:DDQ327697 DDQ393224:DDQ393233 DDQ458760:DDQ458769 DDQ524296:DDQ524305 DDQ589832:DDQ589841 DDQ655368:DDQ655377 DDQ720904:DDQ720913 DDQ786440:DDQ786449 DDQ851976:DDQ851985 DDQ917512:DDQ917521 DDQ983048:DDQ983057 DNM8:DNM17 DNM65544:DNM65553 DNM131080:DNM131089 DNM196616:DNM196625 DNM262152:DNM262161 DNM327688:DNM327697 DNM393224:DNM393233 DNM458760:DNM458769 DNM524296:DNM524305 DNM589832:DNM589841 DNM655368:DNM655377 DNM720904:DNM720913 DNM786440:DNM786449 DNM851976:DNM851985 DNM917512:DNM917521 DNM983048:DNM983057 DXI8:DXI17 DXI65544:DXI65553 DXI131080:DXI131089 DXI196616:DXI196625 DXI262152:DXI262161 DXI327688:DXI327697 DXI393224:DXI393233 DXI458760:DXI458769 DXI524296:DXI524305 DXI589832:DXI589841 DXI655368:DXI655377 DXI720904:DXI720913 DXI786440:DXI786449 DXI851976:DXI851985 DXI917512:DXI917521 DXI983048:DXI983057 EHE8:EHE17 EHE65544:EHE65553 EHE131080:EHE131089 EHE196616:EHE196625 EHE262152:EHE262161 EHE327688:EHE327697 EHE393224:EHE393233 EHE458760:EHE458769 EHE524296:EHE524305 EHE589832:EHE589841 EHE655368:EHE655377 EHE720904:EHE720913 EHE786440:EHE786449 EHE851976:EHE851985 EHE917512:EHE917521 EHE983048:EHE983057 ERA8:ERA17 ERA65544:ERA65553 ERA131080:ERA131089 ERA196616:ERA196625 ERA262152:ERA262161 ERA327688:ERA327697 ERA393224:ERA393233 ERA458760:ERA458769 ERA524296:ERA524305 ERA589832:ERA589841 ERA655368:ERA655377 ERA720904:ERA720913 ERA786440:ERA786449 ERA851976:ERA851985 ERA917512:ERA917521 ERA983048:ERA983057 FAW8:FAW17 FAW65544:FAW65553 FAW131080:FAW131089 FAW196616:FAW196625 FAW262152:FAW262161 FAW327688:FAW327697 FAW393224:FAW393233 FAW458760:FAW458769 FAW524296:FAW524305 FAW589832:FAW589841 FAW655368:FAW655377 FAW720904:FAW720913 FAW786440:FAW786449 FAW851976:FAW851985 FAW917512:FAW917521 FAW983048:FAW983057 FKS8:FKS17 FKS65544:FKS65553 FKS131080:FKS131089 FKS196616:FKS196625 FKS262152:FKS262161 FKS327688:FKS327697 FKS393224:FKS393233 FKS458760:FKS458769 FKS524296:FKS524305 FKS589832:FKS589841 FKS655368:FKS655377 FKS720904:FKS720913 FKS786440:FKS786449 FKS851976:FKS851985 FKS917512:FKS917521 FKS983048:FKS983057 FUO8:FUO17 FUO65544:FUO65553 FUO131080:FUO131089 FUO196616:FUO196625 FUO262152:FUO262161 FUO327688:FUO327697 FUO393224:FUO393233 FUO458760:FUO458769 FUO524296:FUO524305 FUO589832:FUO589841 FUO655368:FUO655377 FUO720904:FUO720913 FUO786440:FUO786449 FUO851976:FUO851985 FUO917512:FUO917521 FUO983048:FUO983057 GEK8:GEK17 GEK65544:GEK65553 GEK131080:GEK131089 GEK196616:GEK196625 GEK262152:GEK262161 GEK327688:GEK327697 GEK393224:GEK393233 GEK458760:GEK458769 GEK524296:GEK524305 GEK589832:GEK589841 GEK655368:GEK655377 GEK720904:GEK720913 GEK786440:GEK786449 GEK851976:GEK851985 GEK917512:GEK917521 GEK983048:GEK983057 GOG8:GOG17 GOG65544:GOG65553 GOG131080:GOG131089 GOG196616:GOG196625 GOG262152:GOG262161 GOG327688:GOG327697 GOG393224:GOG393233 GOG458760:GOG458769 GOG524296:GOG524305 GOG589832:GOG589841 GOG655368:GOG655377 GOG720904:GOG720913 GOG786440:GOG786449 GOG851976:GOG851985 GOG917512:GOG917521 GOG983048:GOG983057 GYC8:GYC17 GYC65544:GYC65553 GYC131080:GYC131089 GYC196616:GYC196625 GYC262152:GYC262161 GYC327688:GYC327697 GYC393224:GYC393233 GYC458760:GYC458769 GYC524296:GYC524305 GYC589832:GYC589841 GYC655368:GYC655377 GYC720904:GYC720913 GYC786440:GYC786449 GYC851976:GYC851985 GYC917512:GYC917521 GYC983048:GYC983057 HHY8:HHY17 HHY65544:HHY65553 HHY131080:HHY131089 HHY196616:HHY196625 HHY262152:HHY262161 HHY327688:HHY327697 HHY393224:HHY393233 HHY458760:HHY458769 HHY524296:HHY524305 HHY589832:HHY589841 HHY655368:HHY655377 HHY720904:HHY720913 HHY786440:HHY786449 HHY851976:HHY851985 HHY917512:HHY917521 HHY983048:HHY983057 HRU8:HRU17 HRU65544:HRU65553 HRU131080:HRU131089 HRU196616:HRU196625 HRU262152:HRU262161 HRU327688:HRU327697 HRU393224:HRU393233 HRU458760:HRU458769 HRU524296:HRU524305 HRU589832:HRU589841 HRU655368:HRU655377 HRU720904:HRU720913 HRU786440:HRU786449 HRU851976:HRU851985 HRU917512:HRU917521 HRU983048:HRU983057 IBQ8:IBQ17 IBQ65544:IBQ65553 IBQ131080:IBQ131089 IBQ196616:IBQ196625 IBQ262152:IBQ262161 IBQ327688:IBQ327697 IBQ393224:IBQ393233 IBQ458760:IBQ458769 IBQ524296:IBQ524305 IBQ589832:IBQ589841 IBQ655368:IBQ655377 IBQ720904:IBQ720913 IBQ786440:IBQ786449 IBQ851976:IBQ851985 IBQ917512:IBQ917521 IBQ983048:IBQ983057 ILM8:ILM17 ILM65544:ILM65553 ILM131080:ILM131089 ILM196616:ILM196625 ILM262152:ILM262161 ILM327688:ILM327697 ILM393224:ILM393233 ILM458760:ILM458769 ILM524296:ILM524305 ILM589832:ILM589841 ILM655368:ILM655377 ILM720904:ILM720913 ILM786440:ILM786449 ILM851976:ILM851985 ILM917512:ILM917521 ILM983048:ILM983057 IVI8:IVI17 IVI65544:IVI65553 IVI131080:IVI131089 IVI196616:IVI196625 IVI262152:IVI262161 IVI327688:IVI327697 IVI393224:IVI393233 IVI458760:IVI458769 IVI524296:IVI524305 IVI589832:IVI589841 IVI655368:IVI655377 IVI720904:IVI720913 IVI786440:IVI786449 IVI851976:IVI851985 IVI917512:IVI917521 IVI983048:IVI983057 JFE8:JFE17 JFE65544:JFE65553 JFE131080:JFE131089 JFE196616:JFE196625 JFE262152:JFE262161 JFE327688:JFE327697 JFE393224:JFE393233 JFE458760:JFE458769 JFE524296:JFE524305 JFE589832:JFE589841 JFE655368:JFE655377 JFE720904:JFE720913 JFE786440:JFE786449 JFE851976:JFE851985 JFE917512:JFE917521 JFE983048:JFE983057 JPA8:JPA17 JPA65544:JPA65553 JPA131080:JPA131089 JPA196616:JPA196625 JPA262152:JPA262161 JPA327688:JPA327697 JPA393224:JPA393233 JPA458760:JPA458769 JPA524296:JPA524305 JPA589832:JPA589841 JPA655368:JPA655377 JPA720904:JPA720913 JPA786440:JPA786449 JPA851976:JPA851985 JPA917512:JPA917521 JPA983048:JPA983057 JYW8:JYW17 JYW65544:JYW65553 JYW131080:JYW131089 JYW196616:JYW196625 JYW262152:JYW262161 JYW327688:JYW327697 JYW393224:JYW393233 JYW458760:JYW458769 JYW524296:JYW524305 JYW589832:JYW589841 JYW655368:JYW655377 JYW720904:JYW720913 JYW786440:JYW786449 JYW851976:JYW851985 JYW917512:JYW917521 JYW983048:JYW983057 KIS8:KIS17 KIS65544:KIS65553 KIS131080:KIS131089 KIS196616:KIS196625 KIS262152:KIS262161 KIS327688:KIS327697 KIS393224:KIS393233 KIS458760:KIS458769 KIS524296:KIS524305 KIS589832:KIS589841 KIS655368:KIS655377 KIS720904:KIS720913 KIS786440:KIS786449 KIS851976:KIS851985 KIS917512:KIS917521 KIS983048:KIS983057 KSO8:KSO17 KSO65544:KSO65553 KSO131080:KSO131089 KSO196616:KSO196625 KSO262152:KSO262161 KSO327688:KSO327697 KSO393224:KSO393233 KSO458760:KSO458769 KSO524296:KSO524305 KSO589832:KSO589841 KSO655368:KSO655377 KSO720904:KSO720913 KSO786440:KSO786449 KSO851976:KSO851985 KSO917512:KSO917521 KSO983048:KSO983057 LCK8:LCK17 LCK65544:LCK65553 LCK131080:LCK131089 LCK196616:LCK196625 LCK262152:LCK262161 LCK327688:LCK327697 LCK393224:LCK393233 LCK458760:LCK458769 LCK524296:LCK524305 LCK589832:LCK589841 LCK655368:LCK655377 LCK720904:LCK720913 LCK786440:LCK786449 LCK851976:LCK851985 LCK917512:LCK917521 LCK983048:LCK983057 LMG8:LMG17 LMG65544:LMG65553 LMG131080:LMG131089 LMG196616:LMG196625 LMG262152:LMG262161 LMG327688:LMG327697 LMG393224:LMG393233 LMG458760:LMG458769 LMG524296:LMG524305 LMG589832:LMG589841 LMG655368:LMG655377 LMG720904:LMG720913 LMG786440:LMG786449 LMG851976:LMG851985 LMG917512:LMG917521 LMG983048:LMG983057 LWC8:LWC17 LWC65544:LWC65553 LWC131080:LWC131089 LWC196616:LWC196625 LWC262152:LWC262161 LWC327688:LWC327697 LWC393224:LWC393233 LWC458760:LWC458769 LWC524296:LWC524305 LWC589832:LWC589841 LWC655368:LWC655377 LWC720904:LWC720913 LWC786440:LWC786449 LWC851976:LWC851985 LWC917512:LWC917521 LWC983048:LWC983057 MFY8:MFY17 MFY65544:MFY65553 MFY131080:MFY131089 MFY196616:MFY196625 MFY262152:MFY262161 MFY327688:MFY327697 MFY393224:MFY393233 MFY458760:MFY458769 MFY524296:MFY524305 MFY589832:MFY589841 MFY655368:MFY655377 MFY720904:MFY720913 MFY786440:MFY786449 MFY851976:MFY851985 MFY917512:MFY917521 MFY983048:MFY983057 MPU8:MPU17 MPU65544:MPU65553 MPU131080:MPU131089 MPU196616:MPU196625 MPU262152:MPU262161 MPU327688:MPU327697 MPU393224:MPU393233 MPU458760:MPU458769 MPU524296:MPU524305 MPU589832:MPU589841 MPU655368:MPU655377 MPU720904:MPU720913 MPU786440:MPU786449 MPU851976:MPU851985 MPU917512:MPU917521 MPU983048:MPU983057 MZQ8:MZQ17 MZQ65544:MZQ65553 MZQ131080:MZQ131089 MZQ196616:MZQ196625 MZQ262152:MZQ262161 MZQ327688:MZQ327697 MZQ393224:MZQ393233 MZQ458760:MZQ458769 MZQ524296:MZQ524305 MZQ589832:MZQ589841 MZQ655368:MZQ655377 MZQ720904:MZQ720913 MZQ786440:MZQ786449 MZQ851976:MZQ851985 MZQ917512:MZQ917521 MZQ983048:MZQ983057 NJM8:NJM17 NJM65544:NJM65553 NJM131080:NJM131089 NJM196616:NJM196625 NJM262152:NJM262161 NJM327688:NJM327697 NJM393224:NJM393233 NJM458760:NJM458769 NJM524296:NJM524305 NJM589832:NJM589841 NJM655368:NJM655377 NJM720904:NJM720913 NJM786440:NJM786449 NJM851976:NJM851985 NJM917512:NJM917521 NJM983048:NJM983057 NTI8:NTI17 NTI65544:NTI65553 NTI131080:NTI131089 NTI196616:NTI196625 NTI262152:NTI262161 NTI327688:NTI327697 NTI393224:NTI393233 NTI458760:NTI458769 NTI524296:NTI524305 NTI589832:NTI589841 NTI655368:NTI655377 NTI720904:NTI720913 NTI786440:NTI786449 NTI851976:NTI851985 NTI917512:NTI917521 NTI983048:NTI983057 ODE8:ODE17 ODE65544:ODE65553 ODE131080:ODE131089 ODE196616:ODE196625 ODE262152:ODE262161 ODE327688:ODE327697 ODE393224:ODE393233 ODE458760:ODE458769 ODE524296:ODE524305 ODE589832:ODE589841 ODE655368:ODE655377 ODE720904:ODE720913 ODE786440:ODE786449 ODE851976:ODE851985 ODE917512:ODE917521 ODE983048:ODE983057 ONA8:ONA17 ONA65544:ONA65553 ONA131080:ONA131089 ONA196616:ONA196625 ONA262152:ONA262161 ONA327688:ONA327697 ONA393224:ONA393233 ONA458760:ONA458769 ONA524296:ONA524305 ONA589832:ONA589841 ONA655368:ONA655377 ONA720904:ONA720913 ONA786440:ONA786449 ONA851976:ONA851985 ONA917512:ONA917521 ONA983048:ONA983057 OWW8:OWW17 OWW65544:OWW65553 OWW131080:OWW131089 OWW196616:OWW196625 OWW262152:OWW262161 OWW327688:OWW327697 OWW393224:OWW393233 OWW458760:OWW458769 OWW524296:OWW524305 OWW589832:OWW589841 OWW655368:OWW655377 OWW720904:OWW720913 OWW786440:OWW786449 OWW851976:OWW851985 OWW917512:OWW917521 OWW983048:OWW983057 PGS8:PGS17 PGS65544:PGS65553 PGS131080:PGS131089 PGS196616:PGS196625 PGS262152:PGS262161 PGS327688:PGS327697 PGS393224:PGS393233 PGS458760:PGS458769 PGS524296:PGS524305 PGS589832:PGS589841 PGS655368:PGS655377 PGS720904:PGS720913 PGS786440:PGS786449 PGS851976:PGS851985 PGS917512:PGS917521 PGS983048:PGS983057 PQO8:PQO17 PQO65544:PQO65553 PQO131080:PQO131089 PQO196616:PQO196625 PQO262152:PQO262161 PQO327688:PQO327697 PQO393224:PQO393233 PQO458760:PQO458769 PQO524296:PQO524305 PQO589832:PQO589841 PQO655368:PQO655377 PQO720904:PQO720913 PQO786440:PQO786449 PQO851976:PQO851985 PQO917512:PQO917521 PQO983048:PQO983057 QAK8:QAK17 QAK65544:QAK65553 QAK131080:QAK131089 QAK196616:QAK196625 QAK262152:QAK262161 QAK327688:QAK327697 QAK393224:QAK393233 QAK458760:QAK458769 QAK524296:QAK524305 QAK589832:QAK589841 QAK655368:QAK655377 QAK720904:QAK720913 QAK786440:QAK786449 QAK851976:QAK851985 QAK917512:QAK917521 QAK983048:QAK983057 QKG8:QKG17 QKG65544:QKG65553 QKG131080:QKG131089 QKG196616:QKG196625 QKG262152:QKG262161 QKG327688:QKG327697 QKG393224:QKG393233 QKG458760:QKG458769 QKG524296:QKG524305 QKG589832:QKG589841 QKG655368:QKG655377 QKG720904:QKG720913 QKG786440:QKG786449 QKG851976:QKG851985 QKG917512:QKG917521 QKG983048:QKG983057 QUC8:QUC17 QUC65544:QUC65553 QUC131080:QUC131089 QUC196616:QUC196625 QUC262152:QUC262161 QUC327688:QUC327697 QUC393224:QUC393233 QUC458760:QUC458769 QUC524296:QUC524305 QUC589832:QUC589841 QUC655368:QUC655377 QUC720904:QUC720913 QUC786440:QUC786449 QUC851976:QUC851985 QUC917512:QUC917521 QUC983048:QUC983057 RDY8:RDY17 RDY65544:RDY65553 RDY131080:RDY131089 RDY196616:RDY196625 RDY262152:RDY262161 RDY327688:RDY327697 RDY393224:RDY393233 RDY458760:RDY458769 RDY524296:RDY524305 RDY589832:RDY589841 RDY655368:RDY655377 RDY720904:RDY720913 RDY786440:RDY786449 RDY851976:RDY851985 RDY917512:RDY917521 RDY983048:RDY983057 RNU8:RNU17 RNU65544:RNU65553 RNU131080:RNU131089 RNU196616:RNU196625 RNU262152:RNU262161 RNU327688:RNU327697 RNU393224:RNU393233 RNU458760:RNU458769 RNU524296:RNU524305 RNU589832:RNU589841 RNU655368:RNU655377 RNU720904:RNU720913 RNU786440:RNU786449 RNU851976:RNU851985 RNU917512:RNU917521 RNU983048:RNU983057 RXQ8:RXQ17 RXQ65544:RXQ65553 RXQ131080:RXQ131089 RXQ196616:RXQ196625 RXQ262152:RXQ262161 RXQ327688:RXQ327697 RXQ393224:RXQ393233 RXQ458760:RXQ458769 RXQ524296:RXQ524305 RXQ589832:RXQ589841 RXQ655368:RXQ655377 RXQ720904:RXQ720913 RXQ786440:RXQ786449 RXQ851976:RXQ851985 RXQ917512:RXQ917521 RXQ983048:RXQ983057 SHM8:SHM17 SHM65544:SHM65553 SHM131080:SHM131089 SHM196616:SHM196625 SHM262152:SHM262161 SHM327688:SHM327697 SHM393224:SHM393233 SHM458760:SHM458769 SHM524296:SHM524305 SHM589832:SHM589841 SHM655368:SHM655377 SHM720904:SHM720913 SHM786440:SHM786449 SHM851976:SHM851985 SHM917512:SHM917521 SHM983048:SHM983057 SRI8:SRI17 SRI65544:SRI65553 SRI131080:SRI131089 SRI196616:SRI196625 SRI262152:SRI262161 SRI327688:SRI327697 SRI393224:SRI393233 SRI458760:SRI458769 SRI524296:SRI524305 SRI589832:SRI589841 SRI655368:SRI655377 SRI720904:SRI720913 SRI786440:SRI786449 SRI851976:SRI851985 SRI917512:SRI917521 SRI983048:SRI983057 TBE8:TBE17 TBE65544:TBE65553 TBE131080:TBE131089 TBE196616:TBE196625 TBE262152:TBE262161 TBE327688:TBE327697 TBE393224:TBE393233 TBE458760:TBE458769 TBE524296:TBE524305 TBE589832:TBE589841 TBE655368:TBE655377 TBE720904:TBE720913 TBE786440:TBE786449 TBE851976:TBE851985 TBE917512:TBE917521 TBE983048:TBE983057 TLA8:TLA17 TLA65544:TLA65553 TLA131080:TLA131089 TLA196616:TLA196625 TLA262152:TLA262161 TLA327688:TLA327697 TLA393224:TLA393233 TLA458760:TLA458769 TLA524296:TLA524305 TLA589832:TLA589841 TLA655368:TLA655377 TLA720904:TLA720913 TLA786440:TLA786449 TLA851976:TLA851985 TLA917512:TLA917521 TLA983048:TLA983057 TUW8:TUW17 TUW65544:TUW65553 TUW131080:TUW131089 TUW196616:TUW196625 TUW262152:TUW262161 TUW327688:TUW327697 TUW393224:TUW393233 TUW458760:TUW458769 TUW524296:TUW524305 TUW589832:TUW589841 TUW655368:TUW655377 TUW720904:TUW720913 TUW786440:TUW786449 TUW851976:TUW851985 TUW917512:TUW917521 TUW983048:TUW983057 UES8:UES17 UES65544:UES65553 UES131080:UES131089 UES196616:UES196625 UES262152:UES262161 UES327688:UES327697 UES393224:UES393233 UES458760:UES458769 UES524296:UES524305 UES589832:UES589841 UES655368:UES655377 UES720904:UES720913 UES786440:UES786449 UES851976:UES851985 UES917512:UES917521 UES983048:UES983057 UOO8:UOO17 UOO65544:UOO65553 UOO131080:UOO131089 UOO196616:UOO196625 UOO262152:UOO262161 UOO327688:UOO327697 UOO393224:UOO393233 UOO458760:UOO458769 UOO524296:UOO524305 UOO589832:UOO589841 UOO655368:UOO655377 UOO720904:UOO720913 UOO786440:UOO786449 UOO851976:UOO851985 UOO917512:UOO917521 UOO983048:UOO983057 UYK8:UYK17 UYK65544:UYK65553 UYK131080:UYK131089 UYK196616:UYK196625 UYK262152:UYK262161 UYK327688:UYK327697 UYK393224:UYK393233 UYK458760:UYK458769 UYK524296:UYK524305 UYK589832:UYK589841 UYK655368:UYK655377 UYK720904:UYK720913 UYK786440:UYK786449 UYK851976:UYK851985 UYK917512:UYK917521 UYK983048:UYK983057 VIG8:VIG17 VIG65544:VIG65553 VIG131080:VIG131089 VIG196616:VIG196625 VIG262152:VIG262161 VIG327688:VIG327697 VIG393224:VIG393233 VIG458760:VIG458769 VIG524296:VIG524305 VIG589832:VIG589841 VIG655368:VIG655377 VIG720904:VIG720913 VIG786440:VIG786449 VIG851976:VIG851985 VIG917512:VIG917521 VIG983048:VIG983057 VSC8:VSC17 VSC65544:VSC65553 VSC131080:VSC131089 VSC196616:VSC196625 VSC262152:VSC262161 VSC327688:VSC327697 VSC393224:VSC393233 VSC458760:VSC458769 VSC524296:VSC524305 VSC589832:VSC589841 VSC655368:VSC655377 VSC720904:VSC720913 VSC786440:VSC786449 VSC851976:VSC851985 VSC917512:VSC917521 VSC983048:VSC983057 WBY8:WBY17 WBY65544:WBY65553 WBY131080:WBY131089 WBY196616:WBY196625 WBY262152:WBY262161 WBY327688:WBY327697 WBY393224:WBY393233 WBY458760:WBY458769 WBY524296:WBY524305 WBY589832:WBY589841 WBY655368:WBY655377 WBY720904:WBY720913 WBY786440:WBY786449 WBY851976:WBY851985 WBY917512:WBY917521 WBY983048:WBY983057 WLU8:WLU17 WLU65544:WLU65553 WLU131080:WLU131089 WLU196616:WLU196625 WLU262152:WLU262161 WLU327688:WLU327697 WLU393224:WLU393233 WLU458760:WLU458769 WLU524296:WLU524305 WLU589832:WLU589841 WLU655368:WLU655377 WLU720904:WLU720913 WLU786440:WLU786449 WLU851976:WLU851985 WLU917512:WLU917521 WLU983048:WLU983057 WVQ8:WVQ17 WVQ65544:WVQ65553 WVQ131080:WVQ131089 WVQ196616:WVQ196625 WVQ262152:WVQ262161 WVQ327688:WVQ327697 WVQ393224:WVQ393233 WVQ458760:WVQ458769 WVQ524296:WVQ524305 WVQ589832:WVQ589841 WVQ655368:WVQ655377 WVQ720904:WVQ720913 WVQ786440:WVQ786449 WVQ851976:WVQ851985 WVQ917512:WVQ917521 WVQ983048:WVQ983057" xr:uid="{00000000-0002-0000-1900-000001000000}">
      <formula1>"正确,错误"</formula1>
    </dataValidation>
  </dataValidations>
  <hyperlinks>
    <hyperlink ref="A1" location="UAT测试案例清单!A1" display="返回" xr:uid="{00000000-0004-0000-19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J18"/>
  <sheetViews>
    <sheetView zoomScale="80" zoomScaleNormal="80" workbookViewId="0">
      <selection activeCell="B17" sqref="B17:D17"/>
    </sheetView>
  </sheetViews>
  <sheetFormatPr defaultColWidth="9" defaultRowHeight="12" x14ac:dyDescent="0.25"/>
  <cols>
    <col min="1" max="1" width="6.59765625" style="1" customWidth="1"/>
    <col min="2" max="2" width="19.69921875" style="1" customWidth="1"/>
    <col min="3" max="3" width="25.69921875" style="1" customWidth="1"/>
    <col min="4" max="4" width="55.09765625" style="1" customWidth="1"/>
    <col min="5" max="5" width="42.69921875"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55.09765625" style="1" customWidth="1"/>
    <col min="262" max="262" width="42.69921875"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55.09765625" style="1" customWidth="1"/>
    <col min="518" max="518" width="42.69921875"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55.09765625" style="1" customWidth="1"/>
    <col min="774" max="774" width="42.69921875"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55.09765625" style="1" customWidth="1"/>
    <col min="1030" max="1030" width="42.69921875"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55.09765625" style="1" customWidth="1"/>
    <col min="1286" max="1286" width="42.69921875"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55.09765625" style="1" customWidth="1"/>
    <col min="1542" max="1542" width="42.69921875"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55.09765625" style="1" customWidth="1"/>
    <col min="1798" max="1798" width="42.69921875"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55.09765625" style="1" customWidth="1"/>
    <col min="2054" max="2054" width="42.69921875"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55.09765625" style="1" customWidth="1"/>
    <col min="2310" max="2310" width="42.69921875"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55.09765625" style="1" customWidth="1"/>
    <col min="2566" max="2566" width="42.69921875"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55.09765625" style="1" customWidth="1"/>
    <col min="2822" max="2822" width="42.69921875"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55.09765625" style="1" customWidth="1"/>
    <col min="3078" max="3078" width="42.69921875"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55.09765625" style="1" customWidth="1"/>
    <col min="3334" max="3334" width="42.69921875"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55.09765625" style="1" customWidth="1"/>
    <col min="3590" max="3590" width="42.69921875"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55.09765625" style="1" customWidth="1"/>
    <col min="3846" max="3846" width="42.69921875"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55.09765625" style="1" customWidth="1"/>
    <col min="4102" max="4102" width="42.69921875"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55.09765625" style="1" customWidth="1"/>
    <col min="4358" max="4358" width="42.69921875"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55.09765625" style="1" customWidth="1"/>
    <col min="4614" max="4614" width="42.69921875"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55.09765625" style="1" customWidth="1"/>
    <col min="4870" max="4870" width="42.69921875"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55.09765625" style="1" customWidth="1"/>
    <col min="5126" max="5126" width="42.69921875"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55.09765625" style="1" customWidth="1"/>
    <col min="5382" max="5382" width="42.69921875"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55.09765625" style="1" customWidth="1"/>
    <col min="5638" max="5638" width="42.69921875"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55.09765625" style="1" customWidth="1"/>
    <col min="5894" max="5894" width="42.69921875"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55.09765625" style="1" customWidth="1"/>
    <col min="6150" max="6150" width="42.69921875"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55.09765625" style="1" customWidth="1"/>
    <col min="6406" max="6406" width="42.69921875"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55.09765625" style="1" customWidth="1"/>
    <col min="6662" max="6662" width="42.69921875"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55.09765625" style="1" customWidth="1"/>
    <col min="6918" max="6918" width="42.69921875"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55.09765625" style="1" customWidth="1"/>
    <col min="7174" max="7174" width="42.69921875"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55.09765625" style="1" customWidth="1"/>
    <col min="7430" max="7430" width="42.69921875"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55.09765625" style="1" customWidth="1"/>
    <col min="7686" max="7686" width="42.69921875"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55.09765625" style="1" customWidth="1"/>
    <col min="7942" max="7942" width="42.69921875"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55.09765625" style="1" customWidth="1"/>
    <col min="8198" max="8198" width="42.69921875"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55.09765625" style="1" customWidth="1"/>
    <col min="8454" max="8454" width="42.69921875"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55.09765625" style="1" customWidth="1"/>
    <col min="8710" max="8710" width="42.69921875"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55.09765625" style="1" customWidth="1"/>
    <col min="8966" max="8966" width="42.69921875"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55.09765625" style="1" customWidth="1"/>
    <col min="9222" max="9222" width="42.69921875"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55.09765625" style="1" customWidth="1"/>
    <col min="9478" max="9478" width="42.69921875"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55.09765625" style="1" customWidth="1"/>
    <col min="9734" max="9734" width="42.69921875"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55.09765625" style="1" customWidth="1"/>
    <col min="9990" max="9990" width="42.69921875"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55.09765625" style="1" customWidth="1"/>
    <col min="10246" max="10246" width="42.69921875"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55.09765625" style="1" customWidth="1"/>
    <col min="10502" max="10502" width="42.69921875"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55.09765625" style="1" customWidth="1"/>
    <col min="10758" max="10758" width="42.69921875"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55.09765625" style="1" customWidth="1"/>
    <col min="11014" max="11014" width="42.69921875"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55.09765625" style="1" customWidth="1"/>
    <col min="11270" max="11270" width="42.69921875"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55.09765625" style="1" customWidth="1"/>
    <col min="11526" max="11526" width="42.69921875"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55.09765625" style="1" customWidth="1"/>
    <col min="11782" max="11782" width="42.69921875"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55.09765625" style="1" customWidth="1"/>
    <col min="12038" max="12038" width="42.69921875"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55.09765625" style="1" customWidth="1"/>
    <col min="12294" max="12294" width="42.69921875"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55.09765625" style="1" customWidth="1"/>
    <col min="12550" max="12550" width="42.69921875"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55.09765625" style="1" customWidth="1"/>
    <col min="12806" max="12806" width="42.69921875"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55.09765625" style="1" customWidth="1"/>
    <col min="13062" max="13062" width="42.69921875"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55.09765625" style="1" customWidth="1"/>
    <col min="13318" max="13318" width="42.69921875"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55.09765625" style="1" customWidth="1"/>
    <col min="13574" max="13574" width="42.69921875"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55.09765625" style="1" customWidth="1"/>
    <col min="13830" max="13830" width="42.69921875"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55.09765625" style="1" customWidth="1"/>
    <col min="14086" max="14086" width="42.69921875"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55.09765625" style="1" customWidth="1"/>
    <col min="14342" max="14342" width="42.69921875"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55.09765625" style="1" customWidth="1"/>
    <col min="14598" max="14598" width="42.69921875"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55.09765625" style="1" customWidth="1"/>
    <col min="14854" max="14854" width="42.69921875"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55.09765625" style="1" customWidth="1"/>
    <col min="15110" max="15110" width="42.69921875"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55.09765625" style="1" customWidth="1"/>
    <col min="15366" max="15366" width="42.69921875"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55.09765625" style="1" customWidth="1"/>
    <col min="15622" max="15622" width="42.69921875"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55.09765625" style="1" customWidth="1"/>
    <col min="15878" max="15878" width="42.69921875"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55.09765625" style="1" customWidth="1"/>
    <col min="16134" max="16134" width="42.69921875"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39.450000000000003" customHeight="1" x14ac:dyDescent="0.25">
      <c r="B3" s="5" t="s">
        <v>88</v>
      </c>
      <c r="C3" s="5" t="s">
        <v>47</v>
      </c>
      <c r="D3" s="5" t="s">
        <v>48</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38" customHeight="1" x14ac:dyDescent="0.25">
      <c r="B8" s="7" t="s">
        <v>283</v>
      </c>
      <c r="C8" s="5" t="s">
        <v>284</v>
      </c>
      <c r="D8" s="8" t="s">
        <v>349</v>
      </c>
      <c r="E8" s="5"/>
      <c r="F8" s="5"/>
      <c r="G8" s="7"/>
      <c r="H8" s="7"/>
      <c r="I8" s="11"/>
      <c r="J8" s="7"/>
    </row>
    <row r="9" spans="1:10" ht="48" customHeight="1" x14ac:dyDescent="0.25">
      <c r="B9" s="7" t="s">
        <v>24</v>
      </c>
      <c r="C9" s="5" t="s">
        <v>287</v>
      </c>
      <c r="D9" s="8" t="s">
        <v>288</v>
      </c>
      <c r="E9" s="5"/>
      <c r="F9" s="5"/>
      <c r="G9" s="7"/>
      <c r="H9" s="7"/>
      <c r="I9" s="11"/>
      <c r="J9" s="7"/>
    </row>
    <row r="10" spans="1:10" ht="58.95" customHeight="1" x14ac:dyDescent="0.25">
      <c r="B10" s="7" t="s">
        <v>289</v>
      </c>
      <c r="C10" s="7" t="s">
        <v>290</v>
      </c>
      <c r="D10" s="8" t="s">
        <v>350</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sheetData>
  <mergeCells count="3">
    <mergeCell ref="B1:E1"/>
    <mergeCell ref="B6:J6"/>
    <mergeCell ref="B16:D16"/>
  </mergeCells>
  <phoneticPr fontId="29" type="noConversion"/>
  <dataValidations count="2">
    <dataValidation type="list" allowBlank="1" showInputMessage="1" showErrorMessage="1" sqref="E3" xr:uid="{00000000-0002-0000-1A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1A00-000001000000}">
      <formula1>"正确,错误"</formula1>
    </dataValidation>
  </dataValidations>
  <hyperlinks>
    <hyperlink ref="A1" location="UAT测试案例清单!A1" display="返回" xr:uid="{00000000-0004-0000-1A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J18"/>
  <sheetViews>
    <sheetView zoomScale="80" zoomScaleNormal="80" workbookViewId="0">
      <selection activeCell="B17" sqref="B17:D17"/>
    </sheetView>
  </sheetViews>
  <sheetFormatPr defaultColWidth="9" defaultRowHeight="12" x14ac:dyDescent="0.25"/>
  <cols>
    <col min="1" max="1" width="6.59765625" style="1" customWidth="1"/>
    <col min="2" max="2" width="19.69921875" style="1" customWidth="1"/>
    <col min="3" max="3" width="25.69921875" style="1" customWidth="1"/>
    <col min="4" max="4" width="51.69921875" style="1" customWidth="1"/>
    <col min="5" max="5" width="42.69921875"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51.69921875" style="1" customWidth="1"/>
    <col min="262" max="262" width="42.69921875"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51.69921875" style="1" customWidth="1"/>
    <col min="518" max="518" width="42.69921875"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51.69921875" style="1" customWidth="1"/>
    <col min="774" max="774" width="42.69921875"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51.69921875" style="1" customWidth="1"/>
    <col min="1030" max="1030" width="42.69921875"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51.69921875" style="1" customWidth="1"/>
    <col min="1286" max="1286" width="42.69921875"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51.69921875" style="1" customWidth="1"/>
    <col min="1542" max="1542" width="42.69921875"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51.69921875" style="1" customWidth="1"/>
    <col min="1798" max="1798" width="42.69921875"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51.69921875" style="1" customWidth="1"/>
    <col min="2054" max="2054" width="42.69921875"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51.69921875" style="1" customWidth="1"/>
    <col min="2310" max="2310" width="42.69921875"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51.69921875" style="1" customWidth="1"/>
    <col min="2566" max="2566" width="42.69921875"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51.69921875" style="1" customWidth="1"/>
    <col min="2822" max="2822" width="42.69921875"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51.69921875" style="1" customWidth="1"/>
    <col min="3078" max="3078" width="42.69921875"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51.69921875" style="1" customWidth="1"/>
    <col min="3334" max="3334" width="42.69921875"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51.69921875" style="1" customWidth="1"/>
    <col min="3590" max="3590" width="42.69921875"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51.69921875" style="1" customWidth="1"/>
    <col min="3846" max="3846" width="42.69921875"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51.69921875" style="1" customWidth="1"/>
    <col min="4102" max="4102" width="42.69921875"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51.69921875" style="1" customWidth="1"/>
    <col min="4358" max="4358" width="42.69921875"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51.69921875" style="1" customWidth="1"/>
    <col min="4614" max="4614" width="42.69921875"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51.69921875" style="1" customWidth="1"/>
    <col min="4870" max="4870" width="42.69921875"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51.69921875" style="1" customWidth="1"/>
    <col min="5126" max="5126" width="42.69921875"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51.69921875" style="1" customWidth="1"/>
    <col min="5382" max="5382" width="42.69921875"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51.69921875" style="1" customWidth="1"/>
    <col min="5638" max="5638" width="42.69921875"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51.69921875" style="1" customWidth="1"/>
    <col min="5894" max="5894" width="42.69921875"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51.69921875" style="1" customWidth="1"/>
    <col min="6150" max="6150" width="42.69921875"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51.69921875" style="1" customWidth="1"/>
    <col min="6406" max="6406" width="42.69921875"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51.69921875" style="1" customWidth="1"/>
    <col min="6662" max="6662" width="42.69921875"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51.69921875" style="1" customWidth="1"/>
    <col min="6918" max="6918" width="42.69921875"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51.69921875" style="1" customWidth="1"/>
    <col min="7174" max="7174" width="42.69921875"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51.69921875" style="1" customWidth="1"/>
    <col min="7430" max="7430" width="42.69921875"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51.69921875" style="1" customWidth="1"/>
    <col min="7686" max="7686" width="42.69921875"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51.69921875" style="1" customWidth="1"/>
    <col min="7942" max="7942" width="42.69921875"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51.69921875" style="1" customWidth="1"/>
    <col min="8198" max="8198" width="42.69921875"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51.69921875" style="1" customWidth="1"/>
    <col min="8454" max="8454" width="42.69921875"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51.69921875" style="1" customWidth="1"/>
    <col min="8710" max="8710" width="42.69921875"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51.69921875" style="1" customWidth="1"/>
    <col min="8966" max="8966" width="42.69921875"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51.69921875" style="1" customWidth="1"/>
    <col min="9222" max="9222" width="42.69921875"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51.69921875" style="1" customWidth="1"/>
    <col min="9478" max="9478" width="42.69921875"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51.69921875" style="1" customWidth="1"/>
    <col min="9734" max="9734" width="42.69921875"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51.69921875" style="1" customWidth="1"/>
    <col min="9990" max="9990" width="42.69921875"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51.69921875" style="1" customWidth="1"/>
    <col min="10246" max="10246" width="42.69921875"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51.69921875" style="1" customWidth="1"/>
    <col min="10502" max="10502" width="42.69921875"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51.69921875" style="1" customWidth="1"/>
    <col min="10758" max="10758" width="42.69921875"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51.69921875" style="1" customWidth="1"/>
    <col min="11014" max="11014" width="42.69921875"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51.69921875" style="1" customWidth="1"/>
    <col min="11270" max="11270" width="42.69921875"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51.69921875" style="1" customWidth="1"/>
    <col min="11526" max="11526" width="42.69921875"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51.69921875" style="1" customWidth="1"/>
    <col min="11782" max="11782" width="42.69921875"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51.69921875" style="1" customWidth="1"/>
    <col min="12038" max="12038" width="42.69921875"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51.69921875" style="1" customWidth="1"/>
    <col min="12294" max="12294" width="42.69921875"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51.69921875" style="1" customWidth="1"/>
    <col min="12550" max="12550" width="42.69921875"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51.69921875" style="1" customWidth="1"/>
    <col min="12806" max="12806" width="42.69921875"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51.69921875" style="1" customWidth="1"/>
    <col min="13062" max="13062" width="42.69921875"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51.69921875" style="1" customWidth="1"/>
    <col min="13318" max="13318" width="42.69921875"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51.69921875" style="1" customWidth="1"/>
    <col min="13574" max="13574" width="42.69921875"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51.69921875" style="1" customWidth="1"/>
    <col min="13830" max="13830" width="42.69921875"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51.69921875" style="1" customWidth="1"/>
    <col min="14086" max="14086" width="42.69921875"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51.69921875" style="1" customWidth="1"/>
    <col min="14342" max="14342" width="42.69921875"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51.69921875" style="1" customWidth="1"/>
    <col min="14598" max="14598" width="42.69921875"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51.69921875" style="1" customWidth="1"/>
    <col min="14854" max="14854" width="42.69921875"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51.69921875" style="1" customWidth="1"/>
    <col min="15110" max="15110" width="42.69921875"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51.69921875" style="1" customWidth="1"/>
    <col min="15366" max="15366" width="42.69921875"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51.69921875" style="1" customWidth="1"/>
    <col min="15622" max="15622" width="42.69921875"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51.69921875" style="1" customWidth="1"/>
    <col min="15878" max="15878" width="42.69921875"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51.69921875" style="1" customWidth="1"/>
    <col min="16134" max="16134" width="42.69921875"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31.5" customHeight="1" x14ac:dyDescent="0.25">
      <c r="B3" s="5" t="s">
        <v>88</v>
      </c>
      <c r="C3" s="5" t="s">
        <v>49</v>
      </c>
      <c r="D3" s="5" t="s">
        <v>351</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01.55" customHeight="1" x14ac:dyDescent="0.25">
      <c r="B8" s="7" t="s">
        <v>283</v>
      </c>
      <c r="C8" s="5" t="s">
        <v>284</v>
      </c>
      <c r="D8" s="8" t="s">
        <v>352</v>
      </c>
      <c r="E8" s="5"/>
      <c r="F8" s="5"/>
      <c r="G8" s="7"/>
      <c r="H8" s="7"/>
      <c r="I8" s="11"/>
      <c r="J8" s="7"/>
    </row>
    <row r="9" spans="1:10" ht="48" customHeight="1" x14ac:dyDescent="0.25">
      <c r="B9" s="7" t="s">
        <v>24</v>
      </c>
      <c r="C9" s="5" t="s">
        <v>287</v>
      </c>
      <c r="D9" s="8" t="s">
        <v>288</v>
      </c>
      <c r="E9" s="5"/>
      <c r="F9" s="5"/>
      <c r="G9" s="7"/>
      <c r="H9" s="7"/>
      <c r="I9" s="11"/>
      <c r="J9" s="7"/>
    </row>
    <row r="10" spans="1:10" ht="53.55" customHeight="1" x14ac:dyDescent="0.25">
      <c r="B10" s="7" t="s">
        <v>289</v>
      </c>
      <c r="C10" s="7" t="s">
        <v>290</v>
      </c>
      <c r="D10" s="8" t="s">
        <v>353</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sheetData>
  <mergeCells count="3">
    <mergeCell ref="B1:E1"/>
    <mergeCell ref="B6:J6"/>
    <mergeCell ref="B16:D16"/>
  </mergeCells>
  <phoneticPr fontId="29" type="noConversion"/>
  <dataValidations count="2">
    <dataValidation type="list" allowBlank="1" showInputMessage="1" showErrorMessage="1" sqref="E3" xr:uid="{00000000-0002-0000-1B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1B00-000001000000}">
      <formula1>"正确,错误"</formula1>
    </dataValidation>
  </dataValidations>
  <hyperlinks>
    <hyperlink ref="A1" location="UAT测试案例清单!A1" display="返回" xr:uid="{00000000-0004-0000-1B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J26"/>
  <sheetViews>
    <sheetView zoomScale="70" zoomScaleNormal="70" workbookViewId="0">
      <selection activeCell="B24" sqref="B24:E24"/>
    </sheetView>
  </sheetViews>
  <sheetFormatPr defaultColWidth="9" defaultRowHeight="28.05" customHeight="1" x14ac:dyDescent="0.25"/>
  <cols>
    <col min="1" max="1" width="6.59765625" style="1" customWidth="1"/>
    <col min="2" max="2" width="19.69921875" style="1" customWidth="1"/>
    <col min="3" max="3" width="29.59765625" style="1" customWidth="1"/>
    <col min="4" max="4" width="51.69921875" style="1" customWidth="1"/>
    <col min="5" max="5" width="42.69921875"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51.69921875" style="1" customWidth="1"/>
    <col min="262" max="262" width="42.69921875"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51.69921875" style="1" customWidth="1"/>
    <col min="518" max="518" width="42.69921875"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51.69921875" style="1" customWidth="1"/>
    <col min="774" max="774" width="42.69921875"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51.69921875" style="1" customWidth="1"/>
    <col min="1030" max="1030" width="42.69921875"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51.69921875" style="1" customWidth="1"/>
    <col min="1286" max="1286" width="42.69921875"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51.69921875" style="1" customWidth="1"/>
    <col min="1542" max="1542" width="42.69921875"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51.69921875" style="1" customWidth="1"/>
    <col min="1798" max="1798" width="42.69921875"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51.69921875" style="1" customWidth="1"/>
    <col min="2054" max="2054" width="42.69921875"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51.69921875" style="1" customWidth="1"/>
    <col min="2310" max="2310" width="42.69921875"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51.69921875" style="1" customWidth="1"/>
    <col min="2566" max="2566" width="42.69921875"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51.69921875" style="1" customWidth="1"/>
    <col min="2822" max="2822" width="42.69921875"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51.69921875" style="1" customWidth="1"/>
    <col min="3078" max="3078" width="42.69921875"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51.69921875" style="1" customWidth="1"/>
    <col min="3334" max="3334" width="42.69921875"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51.69921875" style="1" customWidth="1"/>
    <col min="3590" max="3590" width="42.69921875"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51.69921875" style="1" customWidth="1"/>
    <col min="3846" max="3846" width="42.69921875"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51.69921875" style="1" customWidth="1"/>
    <col min="4102" max="4102" width="42.69921875"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51.69921875" style="1" customWidth="1"/>
    <col min="4358" max="4358" width="42.69921875"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51.69921875" style="1" customWidth="1"/>
    <col min="4614" max="4614" width="42.69921875"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51.69921875" style="1" customWidth="1"/>
    <col min="4870" max="4870" width="42.69921875"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51.69921875" style="1" customWidth="1"/>
    <col min="5126" max="5126" width="42.69921875"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51.69921875" style="1" customWidth="1"/>
    <col min="5382" max="5382" width="42.69921875"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51.69921875" style="1" customWidth="1"/>
    <col min="5638" max="5638" width="42.69921875"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51.69921875" style="1" customWidth="1"/>
    <col min="5894" max="5894" width="42.69921875"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51.69921875" style="1" customWidth="1"/>
    <col min="6150" max="6150" width="42.69921875"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51.69921875" style="1" customWidth="1"/>
    <col min="6406" max="6406" width="42.69921875"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51.69921875" style="1" customWidth="1"/>
    <col min="6662" max="6662" width="42.69921875"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51.69921875" style="1" customWidth="1"/>
    <col min="6918" max="6918" width="42.69921875"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51.69921875" style="1" customWidth="1"/>
    <col min="7174" max="7174" width="42.69921875"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51.69921875" style="1" customWidth="1"/>
    <col min="7430" max="7430" width="42.69921875"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51.69921875" style="1" customWidth="1"/>
    <col min="7686" max="7686" width="42.69921875"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51.69921875" style="1" customWidth="1"/>
    <col min="7942" max="7942" width="42.69921875"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51.69921875" style="1" customWidth="1"/>
    <col min="8198" max="8198" width="42.69921875"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51.69921875" style="1" customWidth="1"/>
    <col min="8454" max="8454" width="42.69921875"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51.69921875" style="1" customWidth="1"/>
    <col min="8710" max="8710" width="42.69921875"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51.69921875" style="1" customWidth="1"/>
    <col min="8966" max="8966" width="42.69921875"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51.69921875" style="1" customWidth="1"/>
    <col min="9222" max="9222" width="42.69921875"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51.69921875" style="1" customWidth="1"/>
    <col min="9478" max="9478" width="42.69921875"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51.69921875" style="1" customWidth="1"/>
    <col min="9734" max="9734" width="42.69921875"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51.69921875" style="1" customWidth="1"/>
    <col min="9990" max="9990" width="42.69921875"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51.69921875" style="1" customWidth="1"/>
    <col min="10246" max="10246" width="42.69921875"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51.69921875" style="1" customWidth="1"/>
    <col min="10502" max="10502" width="42.69921875"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51.69921875" style="1" customWidth="1"/>
    <col min="10758" max="10758" width="42.69921875"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51.69921875" style="1" customWidth="1"/>
    <col min="11014" max="11014" width="42.69921875"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51.69921875" style="1" customWidth="1"/>
    <col min="11270" max="11270" width="42.69921875"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51.69921875" style="1" customWidth="1"/>
    <col min="11526" max="11526" width="42.69921875"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51.69921875" style="1" customWidth="1"/>
    <col min="11782" max="11782" width="42.69921875"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51.69921875" style="1" customWidth="1"/>
    <col min="12038" max="12038" width="42.69921875"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51.69921875" style="1" customWidth="1"/>
    <col min="12294" max="12294" width="42.69921875"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51.69921875" style="1" customWidth="1"/>
    <col min="12550" max="12550" width="42.69921875"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51.69921875" style="1" customWidth="1"/>
    <col min="12806" max="12806" width="42.69921875"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51.69921875" style="1" customWidth="1"/>
    <col min="13062" max="13062" width="42.69921875"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51.69921875" style="1" customWidth="1"/>
    <col min="13318" max="13318" width="42.69921875"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51.69921875" style="1" customWidth="1"/>
    <col min="13574" max="13574" width="42.69921875"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51.69921875" style="1" customWidth="1"/>
    <col min="13830" max="13830" width="42.69921875"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51.69921875" style="1" customWidth="1"/>
    <col min="14086" max="14086" width="42.69921875"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51.69921875" style="1" customWidth="1"/>
    <col min="14342" max="14342" width="42.69921875"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51.69921875" style="1" customWidth="1"/>
    <col min="14598" max="14598" width="42.69921875"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51.69921875" style="1" customWidth="1"/>
    <col min="14854" max="14854" width="42.69921875"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51.69921875" style="1" customWidth="1"/>
    <col min="15110" max="15110" width="42.69921875"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51.69921875" style="1" customWidth="1"/>
    <col min="15366" max="15366" width="42.69921875"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51.69921875" style="1" customWidth="1"/>
    <col min="15622" max="15622" width="42.69921875"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51.69921875" style="1" customWidth="1"/>
    <col min="15878" max="15878" width="42.69921875"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51.69921875" style="1" customWidth="1"/>
    <col min="16134" max="16134" width="42.69921875"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28.05" customHeight="1" x14ac:dyDescent="0.25">
      <c r="A1" s="3" t="s">
        <v>83</v>
      </c>
      <c r="B1" s="90" t="s">
        <v>84</v>
      </c>
      <c r="C1" s="91"/>
      <c r="D1" s="91"/>
      <c r="E1" s="92"/>
    </row>
    <row r="2" spans="1:10" ht="28.05" customHeight="1" x14ac:dyDescent="0.25">
      <c r="B2" s="4" t="s">
        <v>0</v>
      </c>
      <c r="C2" s="4" t="s">
        <v>85</v>
      </c>
      <c r="D2" s="4" t="s">
        <v>86</v>
      </c>
      <c r="E2" s="4" t="s">
        <v>87</v>
      </c>
      <c r="F2" s="4" t="s">
        <v>3</v>
      </c>
    </row>
    <row r="3" spans="1:10" ht="28.05" customHeight="1" x14ac:dyDescent="0.25">
      <c r="B3" s="5" t="s">
        <v>88</v>
      </c>
      <c r="C3" s="5" t="s">
        <v>51</v>
      </c>
      <c r="D3" s="5" t="s">
        <v>354</v>
      </c>
      <c r="E3" s="6"/>
      <c r="F3" s="5"/>
    </row>
    <row r="6" spans="1:10" ht="28.05" customHeight="1" x14ac:dyDescent="0.25">
      <c r="B6" s="90" t="s">
        <v>89</v>
      </c>
      <c r="C6" s="91"/>
      <c r="D6" s="91"/>
      <c r="E6" s="91"/>
      <c r="F6" s="91"/>
      <c r="G6" s="91"/>
      <c r="H6" s="91"/>
      <c r="I6" s="91"/>
      <c r="J6" s="92"/>
    </row>
    <row r="7" spans="1:10" ht="28.05" customHeight="1" x14ac:dyDescent="0.25">
      <c r="B7" s="4" t="s">
        <v>90</v>
      </c>
      <c r="C7" s="4" t="s">
        <v>91</v>
      </c>
      <c r="D7" s="4" t="s">
        <v>92</v>
      </c>
      <c r="E7" s="4" t="s">
        <v>93</v>
      </c>
      <c r="F7" s="4" t="s">
        <v>94</v>
      </c>
      <c r="G7" s="4" t="s">
        <v>95</v>
      </c>
      <c r="H7" s="4" t="s">
        <v>96</v>
      </c>
      <c r="I7" s="10" t="s">
        <v>97</v>
      </c>
      <c r="J7" s="4" t="s">
        <v>98</v>
      </c>
    </row>
    <row r="8" spans="1:10" ht="94.05" customHeight="1" x14ac:dyDescent="0.25">
      <c r="B8" s="7" t="s">
        <v>283</v>
      </c>
      <c r="C8" s="5" t="s">
        <v>284</v>
      </c>
      <c r="D8" s="8" t="s">
        <v>355</v>
      </c>
      <c r="E8" s="5"/>
      <c r="F8" s="5"/>
      <c r="G8" s="7"/>
      <c r="H8" s="7"/>
      <c r="I8" s="11"/>
      <c r="J8" s="7"/>
    </row>
    <row r="9" spans="1:10" ht="44.55" customHeight="1" x14ac:dyDescent="0.25">
      <c r="B9" s="7" t="s">
        <v>24</v>
      </c>
      <c r="C9" s="5" t="s">
        <v>287</v>
      </c>
      <c r="D9" s="8" t="s">
        <v>288</v>
      </c>
      <c r="E9" s="5"/>
      <c r="F9" s="5"/>
      <c r="G9" s="7"/>
      <c r="H9" s="7"/>
      <c r="I9" s="11"/>
      <c r="J9" s="7"/>
    </row>
    <row r="10" spans="1:10" ht="59.55" customHeight="1" x14ac:dyDescent="0.25">
      <c r="B10" s="7" t="s">
        <v>289</v>
      </c>
      <c r="C10" s="7" t="s">
        <v>290</v>
      </c>
      <c r="D10" s="8" t="s">
        <v>356</v>
      </c>
      <c r="E10" s="5"/>
      <c r="F10" s="5"/>
      <c r="G10" s="7"/>
      <c r="H10" s="7"/>
      <c r="I10" s="11"/>
      <c r="J10" s="7"/>
    </row>
    <row r="11" spans="1:10" ht="28.05" customHeight="1" x14ac:dyDescent="0.25">
      <c r="B11" s="7"/>
      <c r="D11" s="8"/>
      <c r="E11" s="5"/>
      <c r="F11" s="5"/>
      <c r="G11" s="7"/>
      <c r="H11" s="7"/>
      <c r="I11" s="11"/>
      <c r="J11" s="7"/>
    </row>
    <row r="12" spans="1:10" ht="28.05" customHeight="1" x14ac:dyDescent="0.25">
      <c r="B12" s="7"/>
      <c r="C12" s="7"/>
      <c r="D12" s="8"/>
      <c r="E12" s="5"/>
      <c r="F12" s="5"/>
      <c r="G12" s="7"/>
      <c r="H12" s="7"/>
      <c r="I12" s="11"/>
      <c r="J12" s="7"/>
    </row>
    <row r="13" spans="1:10" ht="28.05" customHeight="1" x14ac:dyDescent="0.25">
      <c r="B13" s="7"/>
      <c r="C13" s="7"/>
      <c r="D13" s="8"/>
      <c r="E13" s="5"/>
      <c r="F13" s="5"/>
      <c r="G13" s="7"/>
      <c r="H13" s="7"/>
      <c r="I13" s="11"/>
      <c r="J13" s="7"/>
    </row>
    <row r="14" spans="1:10" ht="28.05" customHeight="1" x14ac:dyDescent="0.25">
      <c r="E14" s="9"/>
      <c r="F14" s="9"/>
      <c r="G14" s="9"/>
      <c r="H14" s="9"/>
      <c r="I14" s="11"/>
      <c r="J14" s="9"/>
    </row>
    <row r="15" spans="1:10" ht="28.05" customHeight="1" x14ac:dyDescent="0.25">
      <c r="B15" s="90" t="s">
        <v>118</v>
      </c>
      <c r="C15" s="91"/>
      <c r="D15" s="91"/>
      <c r="E15" s="9"/>
      <c r="F15" s="9"/>
      <c r="G15" s="9"/>
      <c r="H15" s="9"/>
      <c r="I15" s="11"/>
      <c r="J15" s="9"/>
    </row>
    <row r="16" spans="1:10" ht="28.05" customHeight="1" x14ac:dyDescent="0.25">
      <c r="B16" s="4" t="s">
        <v>119</v>
      </c>
      <c r="C16" s="4" t="s">
        <v>120</v>
      </c>
      <c r="D16" s="4" t="s">
        <v>121</v>
      </c>
    </row>
    <row r="17" spans="2:5" ht="28.05" customHeight="1" x14ac:dyDescent="0.25">
      <c r="B17" s="7" t="s">
        <v>122</v>
      </c>
      <c r="C17" s="7"/>
      <c r="D17" s="7"/>
    </row>
    <row r="19" spans="2:5" ht="14.4" x14ac:dyDescent="0.25">
      <c r="B19" s="90" t="s">
        <v>324</v>
      </c>
      <c r="C19" s="91"/>
      <c r="D19" s="91"/>
    </row>
    <row r="20" spans="2:5" ht="20.399999999999999" customHeight="1" x14ac:dyDescent="0.25">
      <c r="B20" s="93" t="s">
        <v>325</v>
      </c>
      <c r="C20" s="94"/>
      <c r="D20" s="18" t="s">
        <v>326</v>
      </c>
    </row>
    <row r="21" spans="2:5" ht="28.8" customHeight="1" x14ac:dyDescent="0.25">
      <c r="B21" s="97" t="s">
        <v>357</v>
      </c>
      <c r="C21" s="97"/>
      <c r="D21" s="19" t="s">
        <v>358</v>
      </c>
    </row>
    <row r="22" spans="2:5" ht="28.8" customHeight="1" x14ac:dyDescent="0.25">
      <c r="B22" s="97" t="s">
        <v>359</v>
      </c>
      <c r="C22" s="97"/>
      <c r="D22" s="19" t="s">
        <v>360</v>
      </c>
    </row>
    <row r="23" spans="2:5" ht="14.4" x14ac:dyDescent="0.25">
      <c r="B23" s="20"/>
      <c r="C23" s="21"/>
      <c r="D23" s="22"/>
    </row>
    <row r="24" spans="2:5" ht="15.6" customHeight="1" x14ac:dyDescent="0.25">
      <c r="B24" s="93" t="s">
        <v>333</v>
      </c>
      <c r="C24" s="94"/>
      <c r="D24" s="93" t="s">
        <v>334</v>
      </c>
      <c r="E24" s="94"/>
    </row>
    <row r="25" spans="2:5" ht="51.6" customHeight="1" x14ac:dyDescent="0.25">
      <c r="B25" s="19" t="s">
        <v>359</v>
      </c>
      <c r="C25" s="19" t="s">
        <v>361</v>
      </c>
      <c r="D25" s="19" t="s">
        <v>362</v>
      </c>
      <c r="E25" s="19">
        <f>ROUND(10000/21.75*1,2)</f>
        <v>459.77</v>
      </c>
    </row>
    <row r="26" spans="2:5" ht="43.2" x14ac:dyDescent="0.25">
      <c r="B26" s="19" t="s">
        <v>357</v>
      </c>
      <c r="C26" s="19" t="s">
        <v>363</v>
      </c>
      <c r="D26" s="19" t="s">
        <v>364</v>
      </c>
      <c r="E26" s="19">
        <f>ROUND(10000/21.75*(21.75-1),2)</f>
        <v>9540.23</v>
      </c>
    </row>
  </sheetData>
  <mergeCells count="9">
    <mergeCell ref="B21:C21"/>
    <mergeCell ref="B22:C22"/>
    <mergeCell ref="B24:C24"/>
    <mergeCell ref="D24:E24"/>
    <mergeCell ref="B1:E1"/>
    <mergeCell ref="B6:J6"/>
    <mergeCell ref="B15:D15"/>
    <mergeCell ref="B19:D19"/>
    <mergeCell ref="B20:C20"/>
  </mergeCells>
  <phoneticPr fontId="29" type="noConversion"/>
  <dataValidations count="2">
    <dataValidation type="list" allowBlank="1" showInputMessage="1" showErrorMessage="1" sqref="E3" xr:uid="{00000000-0002-0000-1C00-000000000000}">
      <formula1>"通过,部分通过,不通过"</formula1>
    </dataValidation>
    <dataValidation type="list" allowBlank="1" showInputMessage="1" showErrorMessage="1" sqref="H8:H13 H65529:H65535 H131065:H131071 H196601:H196607 H262137:H262143 H327673:H327679 H393209:H393215 H458745:H458751 H524281:H524287 H589817:H589823 H655353:H655359 H720889:H720895 H786425:H786431 H851961:H851967 H917497:H917503 H983033:H983039 JE8:JE13 JE65529:JE65535 JE131065:JE131071 JE196601:JE196607 JE262137:JE262143 JE327673:JE327679 JE393209:JE393215 JE458745:JE458751 JE524281:JE524287 JE589817:JE589823 JE655353:JE655359 JE720889:JE720895 JE786425:JE786431 JE851961:JE851967 JE917497:JE917503 JE983033:JE983039 TA8:TA13 TA65529:TA65535 TA131065:TA131071 TA196601:TA196607 TA262137:TA262143 TA327673:TA327679 TA393209:TA393215 TA458745:TA458751 TA524281:TA524287 TA589817:TA589823 TA655353:TA655359 TA720889:TA720895 TA786425:TA786431 TA851961:TA851967 TA917497:TA917503 TA983033:TA983039 ACW8:ACW13 ACW65529:ACW65535 ACW131065:ACW131071 ACW196601:ACW196607 ACW262137:ACW262143 ACW327673:ACW327679 ACW393209:ACW393215 ACW458745:ACW458751 ACW524281:ACW524287 ACW589817:ACW589823 ACW655353:ACW655359 ACW720889:ACW720895 ACW786425:ACW786431 ACW851961:ACW851967 ACW917497:ACW917503 ACW983033:ACW983039 AMS8:AMS13 AMS65529:AMS65535 AMS131065:AMS131071 AMS196601:AMS196607 AMS262137:AMS262143 AMS327673:AMS327679 AMS393209:AMS393215 AMS458745:AMS458751 AMS524281:AMS524287 AMS589817:AMS589823 AMS655353:AMS655359 AMS720889:AMS720895 AMS786425:AMS786431 AMS851961:AMS851967 AMS917497:AMS917503 AMS983033:AMS983039 AWO8:AWO13 AWO65529:AWO65535 AWO131065:AWO131071 AWO196601:AWO196607 AWO262137:AWO262143 AWO327673:AWO327679 AWO393209:AWO393215 AWO458745:AWO458751 AWO524281:AWO524287 AWO589817:AWO589823 AWO655353:AWO655359 AWO720889:AWO720895 AWO786425:AWO786431 AWO851961:AWO851967 AWO917497:AWO917503 AWO983033:AWO983039 BGK8:BGK13 BGK65529:BGK65535 BGK131065:BGK131071 BGK196601:BGK196607 BGK262137:BGK262143 BGK327673:BGK327679 BGK393209:BGK393215 BGK458745:BGK458751 BGK524281:BGK524287 BGK589817:BGK589823 BGK655353:BGK655359 BGK720889:BGK720895 BGK786425:BGK786431 BGK851961:BGK851967 BGK917497:BGK917503 BGK983033:BGK983039 BQG8:BQG13 BQG65529:BQG65535 BQG131065:BQG131071 BQG196601:BQG196607 BQG262137:BQG262143 BQG327673:BQG327679 BQG393209:BQG393215 BQG458745:BQG458751 BQG524281:BQG524287 BQG589817:BQG589823 BQG655353:BQG655359 BQG720889:BQG720895 BQG786425:BQG786431 BQG851961:BQG851967 BQG917497:BQG917503 BQG983033:BQG983039 CAC8:CAC13 CAC65529:CAC65535 CAC131065:CAC131071 CAC196601:CAC196607 CAC262137:CAC262143 CAC327673:CAC327679 CAC393209:CAC393215 CAC458745:CAC458751 CAC524281:CAC524287 CAC589817:CAC589823 CAC655353:CAC655359 CAC720889:CAC720895 CAC786425:CAC786431 CAC851961:CAC851967 CAC917497:CAC917503 CAC983033:CAC983039 CJY8:CJY13 CJY65529:CJY65535 CJY131065:CJY131071 CJY196601:CJY196607 CJY262137:CJY262143 CJY327673:CJY327679 CJY393209:CJY393215 CJY458745:CJY458751 CJY524281:CJY524287 CJY589817:CJY589823 CJY655353:CJY655359 CJY720889:CJY720895 CJY786425:CJY786431 CJY851961:CJY851967 CJY917497:CJY917503 CJY983033:CJY983039 CTU8:CTU13 CTU65529:CTU65535 CTU131065:CTU131071 CTU196601:CTU196607 CTU262137:CTU262143 CTU327673:CTU327679 CTU393209:CTU393215 CTU458745:CTU458751 CTU524281:CTU524287 CTU589817:CTU589823 CTU655353:CTU655359 CTU720889:CTU720895 CTU786425:CTU786431 CTU851961:CTU851967 CTU917497:CTU917503 CTU983033:CTU983039 DDQ8:DDQ13 DDQ65529:DDQ65535 DDQ131065:DDQ131071 DDQ196601:DDQ196607 DDQ262137:DDQ262143 DDQ327673:DDQ327679 DDQ393209:DDQ393215 DDQ458745:DDQ458751 DDQ524281:DDQ524287 DDQ589817:DDQ589823 DDQ655353:DDQ655359 DDQ720889:DDQ720895 DDQ786425:DDQ786431 DDQ851961:DDQ851967 DDQ917497:DDQ917503 DDQ983033:DDQ983039 DNM8:DNM13 DNM65529:DNM65535 DNM131065:DNM131071 DNM196601:DNM196607 DNM262137:DNM262143 DNM327673:DNM327679 DNM393209:DNM393215 DNM458745:DNM458751 DNM524281:DNM524287 DNM589817:DNM589823 DNM655353:DNM655359 DNM720889:DNM720895 DNM786425:DNM786431 DNM851961:DNM851967 DNM917497:DNM917503 DNM983033:DNM983039 DXI8:DXI13 DXI65529:DXI65535 DXI131065:DXI131071 DXI196601:DXI196607 DXI262137:DXI262143 DXI327673:DXI327679 DXI393209:DXI393215 DXI458745:DXI458751 DXI524281:DXI524287 DXI589817:DXI589823 DXI655353:DXI655359 DXI720889:DXI720895 DXI786425:DXI786431 DXI851961:DXI851967 DXI917497:DXI917503 DXI983033:DXI983039 EHE8:EHE13 EHE65529:EHE65535 EHE131065:EHE131071 EHE196601:EHE196607 EHE262137:EHE262143 EHE327673:EHE327679 EHE393209:EHE393215 EHE458745:EHE458751 EHE524281:EHE524287 EHE589817:EHE589823 EHE655353:EHE655359 EHE720889:EHE720895 EHE786425:EHE786431 EHE851961:EHE851967 EHE917497:EHE917503 EHE983033:EHE983039 ERA8:ERA13 ERA65529:ERA65535 ERA131065:ERA131071 ERA196601:ERA196607 ERA262137:ERA262143 ERA327673:ERA327679 ERA393209:ERA393215 ERA458745:ERA458751 ERA524281:ERA524287 ERA589817:ERA589823 ERA655353:ERA655359 ERA720889:ERA720895 ERA786425:ERA786431 ERA851961:ERA851967 ERA917497:ERA917503 ERA983033:ERA983039 FAW8:FAW13 FAW65529:FAW65535 FAW131065:FAW131071 FAW196601:FAW196607 FAW262137:FAW262143 FAW327673:FAW327679 FAW393209:FAW393215 FAW458745:FAW458751 FAW524281:FAW524287 FAW589817:FAW589823 FAW655353:FAW655359 FAW720889:FAW720895 FAW786425:FAW786431 FAW851961:FAW851967 FAW917497:FAW917503 FAW983033:FAW983039 FKS8:FKS13 FKS65529:FKS65535 FKS131065:FKS131071 FKS196601:FKS196607 FKS262137:FKS262143 FKS327673:FKS327679 FKS393209:FKS393215 FKS458745:FKS458751 FKS524281:FKS524287 FKS589817:FKS589823 FKS655353:FKS655359 FKS720889:FKS720895 FKS786425:FKS786431 FKS851961:FKS851967 FKS917497:FKS917503 FKS983033:FKS983039 FUO8:FUO13 FUO65529:FUO65535 FUO131065:FUO131071 FUO196601:FUO196607 FUO262137:FUO262143 FUO327673:FUO327679 FUO393209:FUO393215 FUO458745:FUO458751 FUO524281:FUO524287 FUO589817:FUO589823 FUO655353:FUO655359 FUO720889:FUO720895 FUO786425:FUO786431 FUO851961:FUO851967 FUO917497:FUO917503 FUO983033:FUO983039 GEK8:GEK13 GEK65529:GEK65535 GEK131065:GEK131071 GEK196601:GEK196607 GEK262137:GEK262143 GEK327673:GEK327679 GEK393209:GEK393215 GEK458745:GEK458751 GEK524281:GEK524287 GEK589817:GEK589823 GEK655353:GEK655359 GEK720889:GEK720895 GEK786425:GEK786431 GEK851961:GEK851967 GEK917497:GEK917503 GEK983033:GEK983039 GOG8:GOG13 GOG65529:GOG65535 GOG131065:GOG131071 GOG196601:GOG196607 GOG262137:GOG262143 GOG327673:GOG327679 GOG393209:GOG393215 GOG458745:GOG458751 GOG524281:GOG524287 GOG589817:GOG589823 GOG655353:GOG655359 GOG720889:GOG720895 GOG786425:GOG786431 GOG851961:GOG851967 GOG917497:GOG917503 GOG983033:GOG983039 GYC8:GYC13 GYC65529:GYC65535 GYC131065:GYC131071 GYC196601:GYC196607 GYC262137:GYC262143 GYC327673:GYC327679 GYC393209:GYC393215 GYC458745:GYC458751 GYC524281:GYC524287 GYC589817:GYC589823 GYC655353:GYC655359 GYC720889:GYC720895 GYC786425:GYC786431 GYC851961:GYC851967 GYC917497:GYC917503 GYC983033:GYC983039 HHY8:HHY13 HHY65529:HHY65535 HHY131065:HHY131071 HHY196601:HHY196607 HHY262137:HHY262143 HHY327673:HHY327679 HHY393209:HHY393215 HHY458745:HHY458751 HHY524281:HHY524287 HHY589817:HHY589823 HHY655353:HHY655359 HHY720889:HHY720895 HHY786425:HHY786431 HHY851961:HHY851967 HHY917497:HHY917503 HHY983033:HHY983039 HRU8:HRU13 HRU65529:HRU65535 HRU131065:HRU131071 HRU196601:HRU196607 HRU262137:HRU262143 HRU327673:HRU327679 HRU393209:HRU393215 HRU458745:HRU458751 HRU524281:HRU524287 HRU589817:HRU589823 HRU655353:HRU655359 HRU720889:HRU720895 HRU786425:HRU786431 HRU851961:HRU851967 HRU917497:HRU917503 HRU983033:HRU983039 IBQ8:IBQ13 IBQ65529:IBQ65535 IBQ131065:IBQ131071 IBQ196601:IBQ196607 IBQ262137:IBQ262143 IBQ327673:IBQ327679 IBQ393209:IBQ393215 IBQ458745:IBQ458751 IBQ524281:IBQ524287 IBQ589817:IBQ589823 IBQ655353:IBQ655359 IBQ720889:IBQ720895 IBQ786425:IBQ786431 IBQ851961:IBQ851967 IBQ917497:IBQ917503 IBQ983033:IBQ983039 ILM8:ILM13 ILM65529:ILM65535 ILM131065:ILM131071 ILM196601:ILM196607 ILM262137:ILM262143 ILM327673:ILM327679 ILM393209:ILM393215 ILM458745:ILM458751 ILM524281:ILM524287 ILM589817:ILM589823 ILM655353:ILM655359 ILM720889:ILM720895 ILM786425:ILM786431 ILM851961:ILM851967 ILM917497:ILM917503 ILM983033:ILM983039 IVI8:IVI13 IVI65529:IVI65535 IVI131065:IVI131071 IVI196601:IVI196607 IVI262137:IVI262143 IVI327673:IVI327679 IVI393209:IVI393215 IVI458745:IVI458751 IVI524281:IVI524287 IVI589817:IVI589823 IVI655353:IVI655359 IVI720889:IVI720895 IVI786425:IVI786431 IVI851961:IVI851967 IVI917497:IVI917503 IVI983033:IVI983039 JFE8:JFE13 JFE65529:JFE65535 JFE131065:JFE131071 JFE196601:JFE196607 JFE262137:JFE262143 JFE327673:JFE327679 JFE393209:JFE393215 JFE458745:JFE458751 JFE524281:JFE524287 JFE589817:JFE589823 JFE655353:JFE655359 JFE720889:JFE720895 JFE786425:JFE786431 JFE851961:JFE851967 JFE917497:JFE917503 JFE983033:JFE983039 JPA8:JPA13 JPA65529:JPA65535 JPA131065:JPA131071 JPA196601:JPA196607 JPA262137:JPA262143 JPA327673:JPA327679 JPA393209:JPA393215 JPA458745:JPA458751 JPA524281:JPA524287 JPA589817:JPA589823 JPA655353:JPA655359 JPA720889:JPA720895 JPA786425:JPA786431 JPA851961:JPA851967 JPA917497:JPA917503 JPA983033:JPA983039 JYW8:JYW13 JYW65529:JYW65535 JYW131065:JYW131071 JYW196601:JYW196607 JYW262137:JYW262143 JYW327673:JYW327679 JYW393209:JYW393215 JYW458745:JYW458751 JYW524281:JYW524287 JYW589817:JYW589823 JYW655353:JYW655359 JYW720889:JYW720895 JYW786425:JYW786431 JYW851961:JYW851967 JYW917497:JYW917503 JYW983033:JYW983039 KIS8:KIS13 KIS65529:KIS65535 KIS131065:KIS131071 KIS196601:KIS196607 KIS262137:KIS262143 KIS327673:KIS327679 KIS393209:KIS393215 KIS458745:KIS458751 KIS524281:KIS524287 KIS589817:KIS589823 KIS655353:KIS655359 KIS720889:KIS720895 KIS786425:KIS786431 KIS851961:KIS851967 KIS917497:KIS917503 KIS983033:KIS983039 KSO8:KSO13 KSO65529:KSO65535 KSO131065:KSO131071 KSO196601:KSO196607 KSO262137:KSO262143 KSO327673:KSO327679 KSO393209:KSO393215 KSO458745:KSO458751 KSO524281:KSO524287 KSO589817:KSO589823 KSO655353:KSO655359 KSO720889:KSO720895 KSO786425:KSO786431 KSO851961:KSO851967 KSO917497:KSO917503 KSO983033:KSO983039 LCK8:LCK13 LCK65529:LCK65535 LCK131065:LCK131071 LCK196601:LCK196607 LCK262137:LCK262143 LCK327673:LCK327679 LCK393209:LCK393215 LCK458745:LCK458751 LCK524281:LCK524287 LCK589817:LCK589823 LCK655353:LCK655359 LCK720889:LCK720895 LCK786425:LCK786431 LCK851961:LCK851967 LCK917497:LCK917503 LCK983033:LCK983039 LMG8:LMG13 LMG65529:LMG65535 LMG131065:LMG131071 LMG196601:LMG196607 LMG262137:LMG262143 LMG327673:LMG327679 LMG393209:LMG393215 LMG458745:LMG458751 LMG524281:LMG524287 LMG589817:LMG589823 LMG655353:LMG655359 LMG720889:LMG720895 LMG786425:LMG786431 LMG851961:LMG851967 LMG917497:LMG917503 LMG983033:LMG983039 LWC8:LWC13 LWC65529:LWC65535 LWC131065:LWC131071 LWC196601:LWC196607 LWC262137:LWC262143 LWC327673:LWC327679 LWC393209:LWC393215 LWC458745:LWC458751 LWC524281:LWC524287 LWC589817:LWC589823 LWC655353:LWC655359 LWC720889:LWC720895 LWC786425:LWC786431 LWC851961:LWC851967 LWC917497:LWC917503 LWC983033:LWC983039 MFY8:MFY13 MFY65529:MFY65535 MFY131065:MFY131071 MFY196601:MFY196607 MFY262137:MFY262143 MFY327673:MFY327679 MFY393209:MFY393215 MFY458745:MFY458751 MFY524281:MFY524287 MFY589817:MFY589823 MFY655353:MFY655359 MFY720889:MFY720895 MFY786425:MFY786431 MFY851961:MFY851967 MFY917497:MFY917503 MFY983033:MFY983039 MPU8:MPU13 MPU65529:MPU65535 MPU131065:MPU131071 MPU196601:MPU196607 MPU262137:MPU262143 MPU327673:MPU327679 MPU393209:MPU393215 MPU458745:MPU458751 MPU524281:MPU524287 MPU589817:MPU589823 MPU655353:MPU655359 MPU720889:MPU720895 MPU786425:MPU786431 MPU851961:MPU851967 MPU917497:MPU917503 MPU983033:MPU983039 MZQ8:MZQ13 MZQ65529:MZQ65535 MZQ131065:MZQ131071 MZQ196601:MZQ196607 MZQ262137:MZQ262143 MZQ327673:MZQ327679 MZQ393209:MZQ393215 MZQ458745:MZQ458751 MZQ524281:MZQ524287 MZQ589817:MZQ589823 MZQ655353:MZQ655359 MZQ720889:MZQ720895 MZQ786425:MZQ786431 MZQ851961:MZQ851967 MZQ917497:MZQ917503 MZQ983033:MZQ983039 NJM8:NJM13 NJM65529:NJM65535 NJM131065:NJM131071 NJM196601:NJM196607 NJM262137:NJM262143 NJM327673:NJM327679 NJM393209:NJM393215 NJM458745:NJM458751 NJM524281:NJM524287 NJM589817:NJM589823 NJM655353:NJM655359 NJM720889:NJM720895 NJM786425:NJM786431 NJM851961:NJM851967 NJM917497:NJM917503 NJM983033:NJM983039 NTI8:NTI13 NTI65529:NTI65535 NTI131065:NTI131071 NTI196601:NTI196607 NTI262137:NTI262143 NTI327673:NTI327679 NTI393209:NTI393215 NTI458745:NTI458751 NTI524281:NTI524287 NTI589817:NTI589823 NTI655353:NTI655359 NTI720889:NTI720895 NTI786425:NTI786431 NTI851961:NTI851967 NTI917497:NTI917503 NTI983033:NTI983039 ODE8:ODE13 ODE65529:ODE65535 ODE131065:ODE131071 ODE196601:ODE196607 ODE262137:ODE262143 ODE327673:ODE327679 ODE393209:ODE393215 ODE458745:ODE458751 ODE524281:ODE524287 ODE589817:ODE589823 ODE655353:ODE655359 ODE720889:ODE720895 ODE786425:ODE786431 ODE851961:ODE851967 ODE917497:ODE917503 ODE983033:ODE983039 ONA8:ONA13 ONA65529:ONA65535 ONA131065:ONA131071 ONA196601:ONA196607 ONA262137:ONA262143 ONA327673:ONA327679 ONA393209:ONA393215 ONA458745:ONA458751 ONA524281:ONA524287 ONA589817:ONA589823 ONA655353:ONA655359 ONA720889:ONA720895 ONA786425:ONA786431 ONA851961:ONA851967 ONA917497:ONA917503 ONA983033:ONA983039 OWW8:OWW13 OWW65529:OWW65535 OWW131065:OWW131071 OWW196601:OWW196607 OWW262137:OWW262143 OWW327673:OWW327679 OWW393209:OWW393215 OWW458745:OWW458751 OWW524281:OWW524287 OWW589817:OWW589823 OWW655353:OWW655359 OWW720889:OWW720895 OWW786425:OWW786431 OWW851961:OWW851967 OWW917497:OWW917503 OWW983033:OWW983039 PGS8:PGS13 PGS65529:PGS65535 PGS131065:PGS131071 PGS196601:PGS196607 PGS262137:PGS262143 PGS327673:PGS327679 PGS393209:PGS393215 PGS458745:PGS458751 PGS524281:PGS524287 PGS589817:PGS589823 PGS655353:PGS655359 PGS720889:PGS720895 PGS786425:PGS786431 PGS851961:PGS851967 PGS917497:PGS917503 PGS983033:PGS983039 PQO8:PQO13 PQO65529:PQO65535 PQO131065:PQO131071 PQO196601:PQO196607 PQO262137:PQO262143 PQO327673:PQO327679 PQO393209:PQO393215 PQO458745:PQO458751 PQO524281:PQO524287 PQO589817:PQO589823 PQO655353:PQO655359 PQO720889:PQO720895 PQO786425:PQO786431 PQO851961:PQO851967 PQO917497:PQO917503 PQO983033:PQO983039 QAK8:QAK13 QAK65529:QAK65535 QAK131065:QAK131071 QAK196601:QAK196607 QAK262137:QAK262143 QAK327673:QAK327679 QAK393209:QAK393215 QAK458745:QAK458751 QAK524281:QAK524287 QAK589817:QAK589823 QAK655353:QAK655359 QAK720889:QAK720895 QAK786425:QAK786431 QAK851961:QAK851967 QAK917497:QAK917503 QAK983033:QAK983039 QKG8:QKG13 QKG65529:QKG65535 QKG131065:QKG131071 QKG196601:QKG196607 QKG262137:QKG262143 QKG327673:QKG327679 QKG393209:QKG393215 QKG458745:QKG458751 QKG524281:QKG524287 QKG589817:QKG589823 QKG655353:QKG655359 QKG720889:QKG720895 QKG786425:QKG786431 QKG851961:QKG851967 QKG917497:QKG917503 QKG983033:QKG983039 QUC8:QUC13 QUC65529:QUC65535 QUC131065:QUC131071 QUC196601:QUC196607 QUC262137:QUC262143 QUC327673:QUC327679 QUC393209:QUC393215 QUC458745:QUC458751 QUC524281:QUC524287 QUC589817:QUC589823 QUC655353:QUC655359 QUC720889:QUC720895 QUC786425:QUC786431 QUC851961:QUC851967 QUC917497:QUC917503 QUC983033:QUC983039 RDY8:RDY13 RDY65529:RDY65535 RDY131065:RDY131071 RDY196601:RDY196607 RDY262137:RDY262143 RDY327673:RDY327679 RDY393209:RDY393215 RDY458745:RDY458751 RDY524281:RDY524287 RDY589817:RDY589823 RDY655353:RDY655359 RDY720889:RDY720895 RDY786425:RDY786431 RDY851961:RDY851967 RDY917497:RDY917503 RDY983033:RDY983039 RNU8:RNU13 RNU65529:RNU65535 RNU131065:RNU131071 RNU196601:RNU196607 RNU262137:RNU262143 RNU327673:RNU327679 RNU393209:RNU393215 RNU458745:RNU458751 RNU524281:RNU524287 RNU589817:RNU589823 RNU655353:RNU655359 RNU720889:RNU720895 RNU786425:RNU786431 RNU851961:RNU851967 RNU917497:RNU917503 RNU983033:RNU983039 RXQ8:RXQ13 RXQ65529:RXQ65535 RXQ131065:RXQ131071 RXQ196601:RXQ196607 RXQ262137:RXQ262143 RXQ327673:RXQ327679 RXQ393209:RXQ393215 RXQ458745:RXQ458751 RXQ524281:RXQ524287 RXQ589817:RXQ589823 RXQ655353:RXQ655359 RXQ720889:RXQ720895 RXQ786425:RXQ786431 RXQ851961:RXQ851967 RXQ917497:RXQ917503 RXQ983033:RXQ983039 SHM8:SHM13 SHM65529:SHM65535 SHM131065:SHM131071 SHM196601:SHM196607 SHM262137:SHM262143 SHM327673:SHM327679 SHM393209:SHM393215 SHM458745:SHM458751 SHM524281:SHM524287 SHM589817:SHM589823 SHM655353:SHM655359 SHM720889:SHM720895 SHM786425:SHM786431 SHM851961:SHM851967 SHM917497:SHM917503 SHM983033:SHM983039 SRI8:SRI13 SRI65529:SRI65535 SRI131065:SRI131071 SRI196601:SRI196607 SRI262137:SRI262143 SRI327673:SRI327679 SRI393209:SRI393215 SRI458745:SRI458751 SRI524281:SRI524287 SRI589817:SRI589823 SRI655353:SRI655359 SRI720889:SRI720895 SRI786425:SRI786431 SRI851961:SRI851967 SRI917497:SRI917503 SRI983033:SRI983039 TBE8:TBE13 TBE65529:TBE65535 TBE131065:TBE131071 TBE196601:TBE196607 TBE262137:TBE262143 TBE327673:TBE327679 TBE393209:TBE393215 TBE458745:TBE458751 TBE524281:TBE524287 TBE589817:TBE589823 TBE655353:TBE655359 TBE720889:TBE720895 TBE786425:TBE786431 TBE851961:TBE851967 TBE917497:TBE917503 TBE983033:TBE983039 TLA8:TLA13 TLA65529:TLA65535 TLA131065:TLA131071 TLA196601:TLA196607 TLA262137:TLA262143 TLA327673:TLA327679 TLA393209:TLA393215 TLA458745:TLA458751 TLA524281:TLA524287 TLA589817:TLA589823 TLA655353:TLA655359 TLA720889:TLA720895 TLA786425:TLA786431 TLA851961:TLA851967 TLA917497:TLA917503 TLA983033:TLA983039 TUW8:TUW13 TUW65529:TUW65535 TUW131065:TUW131071 TUW196601:TUW196607 TUW262137:TUW262143 TUW327673:TUW327679 TUW393209:TUW393215 TUW458745:TUW458751 TUW524281:TUW524287 TUW589817:TUW589823 TUW655353:TUW655359 TUW720889:TUW720895 TUW786425:TUW786431 TUW851961:TUW851967 TUW917497:TUW917503 TUW983033:TUW983039 UES8:UES13 UES65529:UES65535 UES131065:UES131071 UES196601:UES196607 UES262137:UES262143 UES327673:UES327679 UES393209:UES393215 UES458745:UES458751 UES524281:UES524287 UES589817:UES589823 UES655353:UES655359 UES720889:UES720895 UES786425:UES786431 UES851961:UES851967 UES917497:UES917503 UES983033:UES983039 UOO8:UOO13 UOO65529:UOO65535 UOO131065:UOO131071 UOO196601:UOO196607 UOO262137:UOO262143 UOO327673:UOO327679 UOO393209:UOO393215 UOO458745:UOO458751 UOO524281:UOO524287 UOO589817:UOO589823 UOO655353:UOO655359 UOO720889:UOO720895 UOO786425:UOO786431 UOO851961:UOO851967 UOO917497:UOO917503 UOO983033:UOO983039 UYK8:UYK13 UYK65529:UYK65535 UYK131065:UYK131071 UYK196601:UYK196607 UYK262137:UYK262143 UYK327673:UYK327679 UYK393209:UYK393215 UYK458745:UYK458751 UYK524281:UYK524287 UYK589817:UYK589823 UYK655353:UYK655359 UYK720889:UYK720895 UYK786425:UYK786431 UYK851961:UYK851967 UYK917497:UYK917503 UYK983033:UYK983039 VIG8:VIG13 VIG65529:VIG65535 VIG131065:VIG131071 VIG196601:VIG196607 VIG262137:VIG262143 VIG327673:VIG327679 VIG393209:VIG393215 VIG458745:VIG458751 VIG524281:VIG524287 VIG589817:VIG589823 VIG655353:VIG655359 VIG720889:VIG720895 VIG786425:VIG786431 VIG851961:VIG851967 VIG917497:VIG917503 VIG983033:VIG983039 VSC8:VSC13 VSC65529:VSC65535 VSC131065:VSC131071 VSC196601:VSC196607 VSC262137:VSC262143 VSC327673:VSC327679 VSC393209:VSC393215 VSC458745:VSC458751 VSC524281:VSC524287 VSC589817:VSC589823 VSC655353:VSC655359 VSC720889:VSC720895 VSC786425:VSC786431 VSC851961:VSC851967 VSC917497:VSC917503 VSC983033:VSC983039 WBY8:WBY13 WBY65529:WBY65535 WBY131065:WBY131071 WBY196601:WBY196607 WBY262137:WBY262143 WBY327673:WBY327679 WBY393209:WBY393215 WBY458745:WBY458751 WBY524281:WBY524287 WBY589817:WBY589823 WBY655353:WBY655359 WBY720889:WBY720895 WBY786425:WBY786431 WBY851961:WBY851967 WBY917497:WBY917503 WBY983033:WBY983039 WLU8:WLU13 WLU65529:WLU65535 WLU131065:WLU131071 WLU196601:WLU196607 WLU262137:WLU262143 WLU327673:WLU327679 WLU393209:WLU393215 WLU458745:WLU458751 WLU524281:WLU524287 WLU589817:WLU589823 WLU655353:WLU655359 WLU720889:WLU720895 WLU786425:WLU786431 WLU851961:WLU851967 WLU917497:WLU917503 WLU983033:WLU983039 WVQ8:WVQ13 WVQ65529:WVQ65535 WVQ131065:WVQ131071 WVQ196601:WVQ196607 WVQ262137:WVQ262143 WVQ327673:WVQ327679 WVQ393209:WVQ393215 WVQ458745:WVQ458751 WVQ524281:WVQ524287 WVQ589817:WVQ589823 WVQ655353:WVQ655359 WVQ720889:WVQ720895 WVQ786425:WVQ786431 WVQ851961:WVQ851967 WVQ917497:WVQ917503 WVQ983033:WVQ983039" xr:uid="{00000000-0002-0000-1C00-000001000000}">
      <formula1>"正确,错误"</formula1>
    </dataValidation>
  </dataValidations>
  <hyperlinks>
    <hyperlink ref="A1" location="UAT测试案例清单!A1" display="返回" xr:uid="{00000000-0004-0000-1C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J45"/>
  <sheetViews>
    <sheetView topLeftCell="A9" zoomScale="80" zoomScaleNormal="80" workbookViewId="0">
      <selection activeCell="B40" sqref="B40:D40"/>
    </sheetView>
  </sheetViews>
  <sheetFormatPr defaultColWidth="9" defaultRowHeight="12" x14ac:dyDescent="0.25"/>
  <cols>
    <col min="1" max="1" width="6.59765625" style="1" customWidth="1"/>
    <col min="2" max="2" width="19.69921875" style="1" customWidth="1"/>
    <col min="3" max="3" width="25.69921875" style="1" customWidth="1"/>
    <col min="4" max="4" width="53.296875" style="1" customWidth="1"/>
    <col min="5" max="5" width="58.296875"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53.296875" style="1" customWidth="1"/>
    <col min="262" max="262" width="58.296875"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53.296875" style="1" customWidth="1"/>
    <col min="518" max="518" width="58.296875"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53.296875" style="1" customWidth="1"/>
    <col min="774" max="774" width="58.296875"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53.296875" style="1" customWidth="1"/>
    <col min="1030" max="1030" width="58.296875"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53.296875" style="1" customWidth="1"/>
    <col min="1286" max="1286" width="58.296875"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53.296875" style="1" customWidth="1"/>
    <col min="1542" max="1542" width="58.296875"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53.296875" style="1" customWidth="1"/>
    <col min="1798" max="1798" width="58.296875"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53.296875" style="1" customWidth="1"/>
    <col min="2054" max="2054" width="58.296875"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53.296875" style="1" customWidth="1"/>
    <col min="2310" max="2310" width="58.296875"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53.296875" style="1" customWidth="1"/>
    <col min="2566" max="2566" width="58.296875"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53.296875" style="1" customWidth="1"/>
    <col min="2822" max="2822" width="58.296875"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53.296875" style="1" customWidth="1"/>
    <col min="3078" max="3078" width="58.296875"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53.296875" style="1" customWidth="1"/>
    <col min="3334" max="3334" width="58.296875"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53.296875" style="1" customWidth="1"/>
    <col min="3590" max="3590" width="58.296875"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53.296875" style="1" customWidth="1"/>
    <col min="3846" max="3846" width="58.296875"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53.296875" style="1" customWidth="1"/>
    <col min="4102" max="4102" width="58.296875"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53.296875" style="1" customWidth="1"/>
    <col min="4358" max="4358" width="58.296875"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53.296875" style="1" customWidth="1"/>
    <col min="4614" max="4614" width="58.296875"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53.296875" style="1" customWidth="1"/>
    <col min="4870" max="4870" width="58.296875"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53.296875" style="1" customWidth="1"/>
    <col min="5126" max="5126" width="58.296875"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53.296875" style="1" customWidth="1"/>
    <col min="5382" max="5382" width="58.296875"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53.296875" style="1" customWidth="1"/>
    <col min="5638" max="5638" width="58.296875"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53.296875" style="1" customWidth="1"/>
    <col min="5894" max="5894" width="58.296875"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53.296875" style="1" customWidth="1"/>
    <col min="6150" max="6150" width="58.296875"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53.296875" style="1" customWidth="1"/>
    <col min="6406" max="6406" width="58.296875"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53.296875" style="1" customWidth="1"/>
    <col min="6662" max="6662" width="58.296875"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53.296875" style="1" customWidth="1"/>
    <col min="6918" max="6918" width="58.296875"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53.296875" style="1" customWidth="1"/>
    <col min="7174" max="7174" width="58.296875"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53.296875" style="1" customWidth="1"/>
    <col min="7430" max="7430" width="58.296875"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53.296875" style="1" customWidth="1"/>
    <col min="7686" max="7686" width="58.296875"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53.296875" style="1" customWidth="1"/>
    <col min="7942" max="7942" width="58.296875"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53.296875" style="1" customWidth="1"/>
    <col min="8198" max="8198" width="58.296875"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53.296875" style="1" customWidth="1"/>
    <col min="8454" max="8454" width="58.296875"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53.296875" style="1" customWidth="1"/>
    <col min="8710" max="8710" width="58.296875"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53.296875" style="1" customWidth="1"/>
    <col min="8966" max="8966" width="58.296875"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53.296875" style="1" customWidth="1"/>
    <col min="9222" max="9222" width="58.296875"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53.296875" style="1" customWidth="1"/>
    <col min="9478" max="9478" width="58.296875"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53.296875" style="1" customWidth="1"/>
    <col min="9734" max="9734" width="58.296875"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53.296875" style="1" customWidth="1"/>
    <col min="9990" max="9990" width="58.296875"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53.296875" style="1" customWidth="1"/>
    <col min="10246" max="10246" width="58.296875"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53.296875" style="1" customWidth="1"/>
    <col min="10502" max="10502" width="58.296875"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53.296875" style="1" customWidth="1"/>
    <col min="10758" max="10758" width="58.296875"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53.296875" style="1" customWidth="1"/>
    <col min="11014" max="11014" width="58.296875"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53.296875" style="1" customWidth="1"/>
    <col min="11270" max="11270" width="58.296875"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53.296875" style="1" customWidth="1"/>
    <col min="11526" max="11526" width="58.296875"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53.296875" style="1" customWidth="1"/>
    <col min="11782" max="11782" width="58.296875"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53.296875" style="1" customWidth="1"/>
    <col min="12038" max="12038" width="58.296875"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53.296875" style="1" customWidth="1"/>
    <col min="12294" max="12294" width="58.296875"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53.296875" style="1" customWidth="1"/>
    <col min="12550" max="12550" width="58.296875"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53.296875" style="1" customWidth="1"/>
    <col min="12806" max="12806" width="58.296875"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53.296875" style="1" customWidth="1"/>
    <col min="13062" max="13062" width="58.296875"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53.296875" style="1" customWidth="1"/>
    <col min="13318" max="13318" width="58.296875"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53.296875" style="1" customWidth="1"/>
    <col min="13574" max="13574" width="58.296875"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53.296875" style="1" customWidth="1"/>
    <col min="13830" max="13830" width="58.296875"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53.296875" style="1" customWidth="1"/>
    <col min="14086" max="14086" width="58.296875"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53.296875" style="1" customWidth="1"/>
    <col min="14342" max="14342" width="58.296875"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53.296875" style="1" customWidth="1"/>
    <col min="14598" max="14598" width="58.296875"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53.296875" style="1" customWidth="1"/>
    <col min="14854" max="14854" width="58.296875"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53.296875" style="1" customWidth="1"/>
    <col min="15110" max="15110" width="58.296875"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53.296875" style="1" customWidth="1"/>
    <col min="15366" max="15366" width="58.296875"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53.296875" style="1" customWidth="1"/>
    <col min="15622" max="15622" width="58.296875"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53.296875" style="1" customWidth="1"/>
    <col min="15878" max="15878" width="58.296875"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53.296875" style="1" customWidth="1"/>
    <col min="16134" max="16134" width="58.296875"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40.5" customHeight="1" x14ac:dyDescent="0.25">
      <c r="B3" s="5" t="s">
        <v>88</v>
      </c>
      <c r="C3" s="5" t="s">
        <v>53</v>
      </c>
      <c r="D3" s="5" t="s">
        <v>54</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61.05" customHeight="1" x14ac:dyDescent="0.25">
      <c r="B8" s="7" t="s">
        <v>283</v>
      </c>
      <c r="C8" s="5" t="s">
        <v>284</v>
      </c>
      <c r="D8" s="8" t="s">
        <v>365</v>
      </c>
      <c r="E8" s="5"/>
      <c r="F8" s="5"/>
      <c r="G8" s="7"/>
      <c r="H8" s="7"/>
      <c r="I8" s="11"/>
      <c r="J8" s="7"/>
    </row>
    <row r="9" spans="1:10" ht="67.05" customHeight="1" x14ac:dyDescent="0.25">
      <c r="B9" s="7" t="s">
        <v>312</v>
      </c>
      <c r="C9" s="5" t="s">
        <v>313</v>
      </c>
      <c r="D9" s="8" t="s">
        <v>366</v>
      </c>
      <c r="E9" s="5"/>
      <c r="F9" s="5"/>
      <c r="G9" s="7"/>
      <c r="H9" s="7"/>
      <c r="I9" s="11"/>
      <c r="J9" s="7"/>
    </row>
    <row r="10" spans="1:10" ht="69" customHeight="1" x14ac:dyDescent="0.25">
      <c r="B10" s="7" t="s">
        <v>283</v>
      </c>
      <c r="C10" s="5" t="s">
        <v>284</v>
      </c>
      <c r="D10" s="8" t="s">
        <v>367</v>
      </c>
      <c r="E10" s="5"/>
      <c r="F10" s="5"/>
      <c r="G10" s="7"/>
      <c r="H10" s="7"/>
      <c r="I10" s="11"/>
      <c r="J10" s="7"/>
    </row>
    <row r="11" spans="1:10" ht="48" customHeight="1" x14ac:dyDescent="0.25">
      <c r="B11" s="7" t="s">
        <v>24</v>
      </c>
      <c r="C11" s="5" t="s">
        <v>287</v>
      </c>
      <c r="D11" s="8" t="s">
        <v>288</v>
      </c>
      <c r="E11" s="5"/>
      <c r="F11" s="5"/>
      <c r="G11" s="7"/>
      <c r="H11" s="7"/>
      <c r="I11" s="11"/>
      <c r="J11" s="7"/>
    </row>
    <row r="12" spans="1:10" ht="53.55" customHeight="1" x14ac:dyDescent="0.25">
      <c r="B12" s="7" t="s">
        <v>289</v>
      </c>
      <c r="C12" s="7" t="s">
        <v>290</v>
      </c>
      <c r="D12" s="8" t="s">
        <v>368</v>
      </c>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row r="21" spans="2:4" x14ac:dyDescent="0.25">
      <c r="B21" s="98" t="s">
        <v>369</v>
      </c>
      <c r="C21" s="99"/>
      <c r="D21" s="99"/>
    </row>
    <row r="22" spans="2:4" ht="35.4" customHeight="1" x14ac:dyDescent="0.25">
      <c r="B22" s="100" t="s">
        <v>370</v>
      </c>
      <c r="C22" s="100"/>
      <c r="D22" s="100"/>
    </row>
    <row r="23" spans="2:4" ht="17.399999999999999" x14ac:dyDescent="0.25">
      <c r="B23" s="17"/>
    </row>
    <row r="24" spans="2:4" x14ac:dyDescent="0.25">
      <c r="B24" s="98" t="s">
        <v>371</v>
      </c>
      <c r="C24" s="99"/>
      <c r="D24" s="99"/>
    </row>
    <row r="25" spans="2:4" x14ac:dyDescent="0.25">
      <c r="B25" s="1" t="s">
        <v>372</v>
      </c>
    </row>
    <row r="26" spans="2:4" x14ac:dyDescent="0.25">
      <c r="B26" s="1" t="s">
        <v>373</v>
      </c>
    </row>
    <row r="27" spans="2:4" x14ac:dyDescent="0.25">
      <c r="B27" s="1" t="s">
        <v>374</v>
      </c>
    </row>
    <row r="28" spans="2:4" x14ac:dyDescent="0.25">
      <c r="B28" s="1" t="s">
        <v>375</v>
      </c>
    </row>
    <row r="29" spans="2:4" x14ac:dyDescent="0.25">
      <c r="B29" s="1" t="s">
        <v>376</v>
      </c>
    </row>
    <row r="30" spans="2:4" x14ac:dyDescent="0.25">
      <c r="B30" s="1" t="s">
        <v>377</v>
      </c>
    </row>
    <row r="31" spans="2:4" x14ac:dyDescent="0.25">
      <c r="B31" s="1" t="s">
        <v>378</v>
      </c>
    </row>
    <row r="32" spans="2:4" x14ac:dyDescent="0.25">
      <c r="B32" s="1" t="s">
        <v>379</v>
      </c>
    </row>
    <row r="34" spans="2:4" x14ac:dyDescent="0.25">
      <c r="B34" s="98" t="s">
        <v>380</v>
      </c>
      <c r="C34" s="99"/>
      <c r="D34" s="99"/>
    </row>
    <row r="36" spans="2:4" x14ac:dyDescent="0.25">
      <c r="B36" s="1" t="s">
        <v>381</v>
      </c>
    </row>
    <row r="37" spans="2:4" x14ac:dyDescent="0.25">
      <c r="B37" s="1" t="s">
        <v>382</v>
      </c>
    </row>
    <row r="38" spans="2:4" x14ac:dyDescent="0.25">
      <c r="B38" s="1" t="s">
        <v>383</v>
      </c>
    </row>
    <row r="40" spans="2:4" x14ac:dyDescent="0.25">
      <c r="B40" s="98" t="s">
        <v>384</v>
      </c>
      <c r="C40" s="99"/>
      <c r="D40" s="99"/>
    </row>
    <row r="41" spans="2:4" x14ac:dyDescent="0.25">
      <c r="B41" s="1" t="s">
        <v>385</v>
      </c>
    </row>
    <row r="42" spans="2:4" x14ac:dyDescent="0.25">
      <c r="B42" s="1" t="s">
        <v>386</v>
      </c>
    </row>
    <row r="43" spans="2:4" x14ac:dyDescent="0.25">
      <c r="B43" s="1" t="s">
        <v>387</v>
      </c>
    </row>
    <row r="44" spans="2:4" x14ac:dyDescent="0.25">
      <c r="B44" s="1" t="s">
        <v>388</v>
      </c>
    </row>
    <row r="45" spans="2:4" x14ac:dyDescent="0.25">
      <c r="B45" s="1" t="s">
        <v>377</v>
      </c>
    </row>
  </sheetData>
  <mergeCells count="8">
    <mergeCell ref="B24:D24"/>
    <mergeCell ref="B34:D34"/>
    <mergeCell ref="B40:D40"/>
    <mergeCell ref="B1:E1"/>
    <mergeCell ref="B6:J6"/>
    <mergeCell ref="B16:D16"/>
    <mergeCell ref="B21:D21"/>
    <mergeCell ref="B22:D22"/>
  </mergeCells>
  <phoneticPr fontId="29" type="noConversion"/>
  <dataValidations count="2">
    <dataValidation type="list" allowBlank="1" showInputMessage="1" showErrorMessage="1" sqref="E3" xr:uid="{00000000-0002-0000-1D00-000000000000}">
      <formula1>"通过,部分通过,不通过"</formula1>
    </dataValidation>
    <dataValidation type="list" allowBlank="1" showInputMessage="1" showErrorMessage="1" sqref="H8:H14 H65546:H65552 H131082:H131088 H196618:H196624 H262154:H262160 H327690:H327696 H393226:H393232 H458762:H458768 H524298:H524304 H589834:H589840 H655370:H655376 H720906:H720912 H786442:H786448 H851978:H851984 H917514:H917520 H983050:H983056 JE8:JE14 JE65546:JE65552 JE131082:JE131088 JE196618:JE196624 JE262154:JE262160 JE327690:JE327696 JE393226:JE393232 JE458762:JE458768 JE524298:JE524304 JE589834:JE589840 JE655370:JE655376 JE720906:JE720912 JE786442:JE786448 JE851978:JE851984 JE917514:JE917520 JE983050:JE983056 TA8:TA14 TA65546:TA65552 TA131082:TA131088 TA196618:TA196624 TA262154:TA262160 TA327690:TA327696 TA393226:TA393232 TA458762:TA458768 TA524298:TA524304 TA589834:TA589840 TA655370:TA655376 TA720906:TA720912 TA786442:TA786448 TA851978:TA851984 TA917514:TA917520 TA983050:TA983056 ACW8:ACW14 ACW65546:ACW65552 ACW131082:ACW131088 ACW196618:ACW196624 ACW262154:ACW262160 ACW327690:ACW327696 ACW393226:ACW393232 ACW458762:ACW458768 ACW524298:ACW524304 ACW589834:ACW589840 ACW655370:ACW655376 ACW720906:ACW720912 ACW786442:ACW786448 ACW851978:ACW851984 ACW917514:ACW917520 ACW983050:ACW983056 AMS8:AMS14 AMS65546:AMS65552 AMS131082:AMS131088 AMS196618:AMS196624 AMS262154:AMS262160 AMS327690:AMS327696 AMS393226:AMS393232 AMS458762:AMS458768 AMS524298:AMS524304 AMS589834:AMS589840 AMS655370:AMS655376 AMS720906:AMS720912 AMS786442:AMS786448 AMS851978:AMS851984 AMS917514:AMS917520 AMS983050:AMS983056 AWO8:AWO14 AWO65546:AWO65552 AWO131082:AWO131088 AWO196618:AWO196624 AWO262154:AWO262160 AWO327690:AWO327696 AWO393226:AWO393232 AWO458762:AWO458768 AWO524298:AWO524304 AWO589834:AWO589840 AWO655370:AWO655376 AWO720906:AWO720912 AWO786442:AWO786448 AWO851978:AWO851984 AWO917514:AWO917520 AWO983050:AWO983056 BGK8:BGK14 BGK65546:BGK65552 BGK131082:BGK131088 BGK196618:BGK196624 BGK262154:BGK262160 BGK327690:BGK327696 BGK393226:BGK393232 BGK458762:BGK458768 BGK524298:BGK524304 BGK589834:BGK589840 BGK655370:BGK655376 BGK720906:BGK720912 BGK786442:BGK786448 BGK851978:BGK851984 BGK917514:BGK917520 BGK983050:BGK983056 BQG8:BQG14 BQG65546:BQG65552 BQG131082:BQG131088 BQG196618:BQG196624 BQG262154:BQG262160 BQG327690:BQG327696 BQG393226:BQG393232 BQG458762:BQG458768 BQG524298:BQG524304 BQG589834:BQG589840 BQG655370:BQG655376 BQG720906:BQG720912 BQG786442:BQG786448 BQG851978:BQG851984 BQG917514:BQG917520 BQG983050:BQG983056 CAC8:CAC14 CAC65546:CAC65552 CAC131082:CAC131088 CAC196618:CAC196624 CAC262154:CAC262160 CAC327690:CAC327696 CAC393226:CAC393232 CAC458762:CAC458768 CAC524298:CAC524304 CAC589834:CAC589840 CAC655370:CAC655376 CAC720906:CAC720912 CAC786442:CAC786448 CAC851978:CAC851984 CAC917514:CAC917520 CAC983050:CAC983056 CJY8:CJY14 CJY65546:CJY65552 CJY131082:CJY131088 CJY196618:CJY196624 CJY262154:CJY262160 CJY327690:CJY327696 CJY393226:CJY393232 CJY458762:CJY458768 CJY524298:CJY524304 CJY589834:CJY589840 CJY655370:CJY655376 CJY720906:CJY720912 CJY786442:CJY786448 CJY851978:CJY851984 CJY917514:CJY917520 CJY983050:CJY983056 CTU8:CTU14 CTU65546:CTU65552 CTU131082:CTU131088 CTU196618:CTU196624 CTU262154:CTU262160 CTU327690:CTU327696 CTU393226:CTU393232 CTU458762:CTU458768 CTU524298:CTU524304 CTU589834:CTU589840 CTU655370:CTU655376 CTU720906:CTU720912 CTU786442:CTU786448 CTU851978:CTU851984 CTU917514:CTU917520 CTU983050:CTU983056 DDQ8:DDQ14 DDQ65546:DDQ65552 DDQ131082:DDQ131088 DDQ196618:DDQ196624 DDQ262154:DDQ262160 DDQ327690:DDQ327696 DDQ393226:DDQ393232 DDQ458762:DDQ458768 DDQ524298:DDQ524304 DDQ589834:DDQ589840 DDQ655370:DDQ655376 DDQ720906:DDQ720912 DDQ786442:DDQ786448 DDQ851978:DDQ851984 DDQ917514:DDQ917520 DDQ983050:DDQ983056 DNM8:DNM14 DNM65546:DNM65552 DNM131082:DNM131088 DNM196618:DNM196624 DNM262154:DNM262160 DNM327690:DNM327696 DNM393226:DNM393232 DNM458762:DNM458768 DNM524298:DNM524304 DNM589834:DNM589840 DNM655370:DNM655376 DNM720906:DNM720912 DNM786442:DNM786448 DNM851978:DNM851984 DNM917514:DNM917520 DNM983050:DNM983056 DXI8:DXI14 DXI65546:DXI65552 DXI131082:DXI131088 DXI196618:DXI196624 DXI262154:DXI262160 DXI327690:DXI327696 DXI393226:DXI393232 DXI458762:DXI458768 DXI524298:DXI524304 DXI589834:DXI589840 DXI655370:DXI655376 DXI720906:DXI720912 DXI786442:DXI786448 DXI851978:DXI851984 DXI917514:DXI917520 DXI983050:DXI983056 EHE8:EHE14 EHE65546:EHE65552 EHE131082:EHE131088 EHE196618:EHE196624 EHE262154:EHE262160 EHE327690:EHE327696 EHE393226:EHE393232 EHE458762:EHE458768 EHE524298:EHE524304 EHE589834:EHE589840 EHE655370:EHE655376 EHE720906:EHE720912 EHE786442:EHE786448 EHE851978:EHE851984 EHE917514:EHE917520 EHE983050:EHE983056 ERA8:ERA14 ERA65546:ERA65552 ERA131082:ERA131088 ERA196618:ERA196624 ERA262154:ERA262160 ERA327690:ERA327696 ERA393226:ERA393232 ERA458762:ERA458768 ERA524298:ERA524304 ERA589834:ERA589840 ERA655370:ERA655376 ERA720906:ERA720912 ERA786442:ERA786448 ERA851978:ERA851984 ERA917514:ERA917520 ERA983050:ERA983056 FAW8:FAW14 FAW65546:FAW65552 FAW131082:FAW131088 FAW196618:FAW196624 FAW262154:FAW262160 FAW327690:FAW327696 FAW393226:FAW393232 FAW458762:FAW458768 FAW524298:FAW524304 FAW589834:FAW589840 FAW655370:FAW655376 FAW720906:FAW720912 FAW786442:FAW786448 FAW851978:FAW851984 FAW917514:FAW917520 FAW983050:FAW983056 FKS8:FKS14 FKS65546:FKS65552 FKS131082:FKS131088 FKS196618:FKS196624 FKS262154:FKS262160 FKS327690:FKS327696 FKS393226:FKS393232 FKS458762:FKS458768 FKS524298:FKS524304 FKS589834:FKS589840 FKS655370:FKS655376 FKS720906:FKS720912 FKS786442:FKS786448 FKS851978:FKS851984 FKS917514:FKS917520 FKS983050:FKS983056 FUO8:FUO14 FUO65546:FUO65552 FUO131082:FUO131088 FUO196618:FUO196624 FUO262154:FUO262160 FUO327690:FUO327696 FUO393226:FUO393232 FUO458762:FUO458768 FUO524298:FUO524304 FUO589834:FUO589840 FUO655370:FUO655376 FUO720906:FUO720912 FUO786442:FUO786448 FUO851978:FUO851984 FUO917514:FUO917520 FUO983050:FUO983056 GEK8:GEK14 GEK65546:GEK65552 GEK131082:GEK131088 GEK196618:GEK196624 GEK262154:GEK262160 GEK327690:GEK327696 GEK393226:GEK393232 GEK458762:GEK458768 GEK524298:GEK524304 GEK589834:GEK589840 GEK655370:GEK655376 GEK720906:GEK720912 GEK786442:GEK786448 GEK851978:GEK851984 GEK917514:GEK917520 GEK983050:GEK983056 GOG8:GOG14 GOG65546:GOG65552 GOG131082:GOG131088 GOG196618:GOG196624 GOG262154:GOG262160 GOG327690:GOG327696 GOG393226:GOG393232 GOG458762:GOG458768 GOG524298:GOG524304 GOG589834:GOG589840 GOG655370:GOG655376 GOG720906:GOG720912 GOG786442:GOG786448 GOG851978:GOG851984 GOG917514:GOG917520 GOG983050:GOG983056 GYC8:GYC14 GYC65546:GYC65552 GYC131082:GYC131088 GYC196618:GYC196624 GYC262154:GYC262160 GYC327690:GYC327696 GYC393226:GYC393232 GYC458762:GYC458768 GYC524298:GYC524304 GYC589834:GYC589840 GYC655370:GYC655376 GYC720906:GYC720912 GYC786442:GYC786448 GYC851978:GYC851984 GYC917514:GYC917520 GYC983050:GYC983056 HHY8:HHY14 HHY65546:HHY65552 HHY131082:HHY131088 HHY196618:HHY196624 HHY262154:HHY262160 HHY327690:HHY327696 HHY393226:HHY393232 HHY458762:HHY458768 HHY524298:HHY524304 HHY589834:HHY589840 HHY655370:HHY655376 HHY720906:HHY720912 HHY786442:HHY786448 HHY851978:HHY851984 HHY917514:HHY917520 HHY983050:HHY983056 HRU8:HRU14 HRU65546:HRU65552 HRU131082:HRU131088 HRU196618:HRU196624 HRU262154:HRU262160 HRU327690:HRU327696 HRU393226:HRU393232 HRU458762:HRU458768 HRU524298:HRU524304 HRU589834:HRU589840 HRU655370:HRU655376 HRU720906:HRU720912 HRU786442:HRU786448 HRU851978:HRU851984 HRU917514:HRU917520 HRU983050:HRU983056 IBQ8:IBQ14 IBQ65546:IBQ65552 IBQ131082:IBQ131088 IBQ196618:IBQ196624 IBQ262154:IBQ262160 IBQ327690:IBQ327696 IBQ393226:IBQ393232 IBQ458762:IBQ458768 IBQ524298:IBQ524304 IBQ589834:IBQ589840 IBQ655370:IBQ655376 IBQ720906:IBQ720912 IBQ786442:IBQ786448 IBQ851978:IBQ851984 IBQ917514:IBQ917520 IBQ983050:IBQ983056 ILM8:ILM14 ILM65546:ILM65552 ILM131082:ILM131088 ILM196618:ILM196624 ILM262154:ILM262160 ILM327690:ILM327696 ILM393226:ILM393232 ILM458762:ILM458768 ILM524298:ILM524304 ILM589834:ILM589840 ILM655370:ILM655376 ILM720906:ILM720912 ILM786442:ILM786448 ILM851978:ILM851984 ILM917514:ILM917520 ILM983050:ILM983056 IVI8:IVI14 IVI65546:IVI65552 IVI131082:IVI131088 IVI196618:IVI196624 IVI262154:IVI262160 IVI327690:IVI327696 IVI393226:IVI393232 IVI458762:IVI458768 IVI524298:IVI524304 IVI589834:IVI589840 IVI655370:IVI655376 IVI720906:IVI720912 IVI786442:IVI786448 IVI851978:IVI851984 IVI917514:IVI917520 IVI983050:IVI983056 JFE8:JFE14 JFE65546:JFE65552 JFE131082:JFE131088 JFE196618:JFE196624 JFE262154:JFE262160 JFE327690:JFE327696 JFE393226:JFE393232 JFE458762:JFE458768 JFE524298:JFE524304 JFE589834:JFE589840 JFE655370:JFE655376 JFE720906:JFE720912 JFE786442:JFE786448 JFE851978:JFE851984 JFE917514:JFE917520 JFE983050:JFE983056 JPA8:JPA14 JPA65546:JPA65552 JPA131082:JPA131088 JPA196618:JPA196624 JPA262154:JPA262160 JPA327690:JPA327696 JPA393226:JPA393232 JPA458762:JPA458768 JPA524298:JPA524304 JPA589834:JPA589840 JPA655370:JPA655376 JPA720906:JPA720912 JPA786442:JPA786448 JPA851978:JPA851984 JPA917514:JPA917520 JPA983050:JPA983056 JYW8:JYW14 JYW65546:JYW65552 JYW131082:JYW131088 JYW196618:JYW196624 JYW262154:JYW262160 JYW327690:JYW327696 JYW393226:JYW393232 JYW458762:JYW458768 JYW524298:JYW524304 JYW589834:JYW589840 JYW655370:JYW655376 JYW720906:JYW720912 JYW786442:JYW786448 JYW851978:JYW851984 JYW917514:JYW917520 JYW983050:JYW983056 KIS8:KIS14 KIS65546:KIS65552 KIS131082:KIS131088 KIS196618:KIS196624 KIS262154:KIS262160 KIS327690:KIS327696 KIS393226:KIS393232 KIS458762:KIS458768 KIS524298:KIS524304 KIS589834:KIS589840 KIS655370:KIS655376 KIS720906:KIS720912 KIS786442:KIS786448 KIS851978:KIS851984 KIS917514:KIS917520 KIS983050:KIS983056 KSO8:KSO14 KSO65546:KSO65552 KSO131082:KSO131088 KSO196618:KSO196624 KSO262154:KSO262160 KSO327690:KSO327696 KSO393226:KSO393232 KSO458762:KSO458768 KSO524298:KSO524304 KSO589834:KSO589840 KSO655370:KSO655376 KSO720906:KSO720912 KSO786442:KSO786448 KSO851978:KSO851984 KSO917514:KSO917520 KSO983050:KSO983056 LCK8:LCK14 LCK65546:LCK65552 LCK131082:LCK131088 LCK196618:LCK196624 LCK262154:LCK262160 LCK327690:LCK327696 LCK393226:LCK393232 LCK458762:LCK458768 LCK524298:LCK524304 LCK589834:LCK589840 LCK655370:LCK655376 LCK720906:LCK720912 LCK786442:LCK786448 LCK851978:LCK851984 LCK917514:LCK917520 LCK983050:LCK983056 LMG8:LMG14 LMG65546:LMG65552 LMG131082:LMG131088 LMG196618:LMG196624 LMG262154:LMG262160 LMG327690:LMG327696 LMG393226:LMG393232 LMG458762:LMG458768 LMG524298:LMG524304 LMG589834:LMG589840 LMG655370:LMG655376 LMG720906:LMG720912 LMG786442:LMG786448 LMG851978:LMG851984 LMG917514:LMG917520 LMG983050:LMG983056 LWC8:LWC14 LWC65546:LWC65552 LWC131082:LWC131088 LWC196618:LWC196624 LWC262154:LWC262160 LWC327690:LWC327696 LWC393226:LWC393232 LWC458762:LWC458768 LWC524298:LWC524304 LWC589834:LWC589840 LWC655370:LWC655376 LWC720906:LWC720912 LWC786442:LWC786448 LWC851978:LWC851984 LWC917514:LWC917520 LWC983050:LWC983056 MFY8:MFY14 MFY65546:MFY65552 MFY131082:MFY131088 MFY196618:MFY196624 MFY262154:MFY262160 MFY327690:MFY327696 MFY393226:MFY393232 MFY458762:MFY458768 MFY524298:MFY524304 MFY589834:MFY589840 MFY655370:MFY655376 MFY720906:MFY720912 MFY786442:MFY786448 MFY851978:MFY851984 MFY917514:MFY917520 MFY983050:MFY983056 MPU8:MPU14 MPU65546:MPU65552 MPU131082:MPU131088 MPU196618:MPU196624 MPU262154:MPU262160 MPU327690:MPU327696 MPU393226:MPU393232 MPU458762:MPU458768 MPU524298:MPU524304 MPU589834:MPU589840 MPU655370:MPU655376 MPU720906:MPU720912 MPU786442:MPU786448 MPU851978:MPU851984 MPU917514:MPU917520 MPU983050:MPU983056 MZQ8:MZQ14 MZQ65546:MZQ65552 MZQ131082:MZQ131088 MZQ196618:MZQ196624 MZQ262154:MZQ262160 MZQ327690:MZQ327696 MZQ393226:MZQ393232 MZQ458762:MZQ458768 MZQ524298:MZQ524304 MZQ589834:MZQ589840 MZQ655370:MZQ655376 MZQ720906:MZQ720912 MZQ786442:MZQ786448 MZQ851978:MZQ851984 MZQ917514:MZQ917520 MZQ983050:MZQ983056 NJM8:NJM14 NJM65546:NJM65552 NJM131082:NJM131088 NJM196618:NJM196624 NJM262154:NJM262160 NJM327690:NJM327696 NJM393226:NJM393232 NJM458762:NJM458768 NJM524298:NJM524304 NJM589834:NJM589840 NJM655370:NJM655376 NJM720906:NJM720912 NJM786442:NJM786448 NJM851978:NJM851984 NJM917514:NJM917520 NJM983050:NJM983056 NTI8:NTI14 NTI65546:NTI65552 NTI131082:NTI131088 NTI196618:NTI196624 NTI262154:NTI262160 NTI327690:NTI327696 NTI393226:NTI393232 NTI458762:NTI458768 NTI524298:NTI524304 NTI589834:NTI589840 NTI655370:NTI655376 NTI720906:NTI720912 NTI786442:NTI786448 NTI851978:NTI851984 NTI917514:NTI917520 NTI983050:NTI983056 ODE8:ODE14 ODE65546:ODE65552 ODE131082:ODE131088 ODE196618:ODE196624 ODE262154:ODE262160 ODE327690:ODE327696 ODE393226:ODE393232 ODE458762:ODE458768 ODE524298:ODE524304 ODE589834:ODE589840 ODE655370:ODE655376 ODE720906:ODE720912 ODE786442:ODE786448 ODE851978:ODE851984 ODE917514:ODE917520 ODE983050:ODE983056 ONA8:ONA14 ONA65546:ONA65552 ONA131082:ONA131088 ONA196618:ONA196624 ONA262154:ONA262160 ONA327690:ONA327696 ONA393226:ONA393232 ONA458762:ONA458768 ONA524298:ONA524304 ONA589834:ONA589840 ONA655370:ONA655376 ONA720906:ONA720912 ONA786442:ONA786448 ONA851978:ONA851984 ONA917514:ONA917520 ONA983050:ONA983056 OWW8:OWW14 OWW65546:OWW65552 OWW131082:OWW131088 OWW196618:OWW196624 OWW262154:OWW262160 OWW327690:OWW327696 OWW393226:OWW393232 OWW458762:OWW458768 OWW524298:OWW524304 OWW589834:OWW589840 OWW655370:OWW655376 OWW720906:OWW720912 OWW786442:OWW786448 OWW851978:OWW851984 OWW917514:OWW917520 OWW983050:OWW983056 PGS8:PGS14 PGS65546:PGS65552 PGS131082:PGS131088 PGS196618:PGS196624 PGS262154:PGS262160 PGS327690:PGS327696 PGS393226:PGS393232 PGS458762:PGS458768 PGS524298:PGS524304 PGS589834:PGS589840 PGS655370:PGS655376 PGS720906:PGS720912 PGS786442:PGS786448 PGS851978:PGS851984 PGS917514:PGS917520 PGS983050:PGS983056 PQO8:PQO14 PQO65546:PQO65552 PQO131082:PQO131088 PQO196618:PQO196624 PQO262154:PQO262160 PQO327690:PQO327696 PQO393226:PQO393232 PQO458762:PQO458768 PQO524298:PQO524304 PQO589834:PQO589840 PQO655370:PQO655376 PQO720906:PQO720912 PQO786442:PQO786448 PQO851978:PQO851984 PQO917514:PQO917520 PQO983050:PQO983056 QAK8:QAK14 QAK65546:QAK65552 QAK131082:QAK131088 QAK196618:QAK196624 QAK262154:QAK262160 QAK327690:QAK327696 QAK393226:QAK393232 QAK458762:QAK458768 QAK524298:QAK524304 QAK589834:QAK589840 QAK655370:QAK655376 QAK720906:QAK720912 QAK786442:QAK786448 QAK851978:QAK851984 QAK917514:QAK917520 QAK983050:QAK983056 QKG8:QKG14 QKG65546:QKG65552 QKG131082:QKG131088 QKG196618:QKG196624 QKG262154:QKG262160 QKG327690:QKG327696 QKG393226:QKG393232 QKG458762:QKG458768 QKG524298:QKG524304 QKG589834:QKG589840 QKG655370:QKG655376 QKG720906:QKG720912 QKG786442:QKG786448 QKG851978:QKG851984 QKG917514:QKG917520 QKG983050:QKG983056 QUC8:QUC14 QUC65546:QUC65552 QUC131082:QUC131088 QUC196618:QUC196624 QUC262154:QUC262160 QUC327690:QUC327696 QUC393226:QUC393232 QUC458762:QUC458768 QUC524298:QUC524304 QUC589834:QUC589840 QUC655370:QUC655376 QUC720906:QUC720912 QUC786442:QUC786448 QUC851978:QUC851984 QUC917514:QUC917520 QUC983050:QUC983056 RDY8:RDY14 RDY65546:RDY65552 RDY131082:RDY131088 RDY196618:RDY196624 RDY262154:RDY262160 RDY327690:RDY327696 RDY393226:RDY393232 RDY458762:RDY458768 RDY524298:RDY524304 RDY589834:RDY589840 RDY655370:RDY655376 RDY720906:RDY720912 RDY786442:RDY786448 RDY851978:RDY851984 RDY917514:RDY917520 RDY983050:RDY983056 RNU8:RNU14 RNU65546:RNU65552 RNU131082:RNU131088 RNU196618:RNU196624 RNU262154:RNU262160 RNU327690:RNU327696 RNU393226:RNU393232 RNU458762:RNU458768 RNU524298:RNU524304 RNU589834:RNU589840 RNU655370:RNU655376 RNU720906:RNU720912 RNU786442:RNU786448 RNU851978:RNU851984 RNU917514:RNU917520 RNU983050:RNU983056 RXQ8:RXQ14 RXQ65546:RXQ65552 RXQ131082:RXQ131088 RXQ196618:RXQ196624 RXQ262154:RXQ262160 RXQ327690:RXQ327696 RXQ393226:RXQ393232 RXQ458762:RXQ458768 RXQ524298:RXQ524304 RXQ589834:RXQ589840 RXQ655370:RXQ655376 RXQ720906:RXQ720912 RXQ786442:RXQ786448 RXQ851978:RXQ851984 RXQ917514:RXQ917520 RXQ983050:RXQ983056 SHM8:SHM14 SHM65546:SHM65552 SHM131082:SHM131088 SHM196618:SHM196624 SHM262154:SHM262160 SHM327690:SHM327696 SHM393226:SHM393232 SHM458762:SHM458768 SHM524298:SHM524304 SHM589834:SHM589840 SHM655370:SHM655376 SHM720906:SHM720912 SHM786442:SHM786448 SHM851978:SHM851984 SHM917514:SHM917520 SHM983050:SHM983056 SRI8:SRI14 SRI65546:SRI65552 SRI131082:SRI131088 SRI196618:SRI196624 SRI262154:SRI262160 SRI327690:SRI327696 SRI393226:SRI393232 SRI458762:SRI458768 SRI524298:SRI524304 SRI589834:SRI589840 SRI655370:SRI655376 SRI720906:SRI720912 SRI786442:SRI786448 SRI851978:SRI851984 SRI917514:SRI917520 SRI983050:SRI983056 TBE8:TBE14 TBE65546:TBE65552 TBE131082:TBE131088 TBE196618:TBE196624 TBE262154:TBE262160 TBE327690:TBE327696 TBE393226:TBE393232 TBE458762:TBE458768 TBE524298:TBE524304 TBE589834:TBE589840 TBE655370:TBE655376 TBE720906:TBE720912 TBE786442:TBE786448 TBE851978:TBE851984 TBE917514:TBE917520 TBE983050:TBE983056 TLA8:TLA14 TLA65546:TLA65552 TLA131082:TLA131088 TLA196618:TLA196624 TLA262154:TLA262160 TLA327690:TLA327696 TLA393226:TLA393232 TLA458762:TLA458768 TLA524298:TLA524304 TLA589834:TLA589840 TLA655370:TLA655376 TLA720906:TLA720912 TLA786442:TLA786448 TLA851978:TLA851984 TLA917514:TLA917520 TLA983050:TLA983056 TUW8:TUW14 TUW65546:TUW65552 TUW131082:TUW131088 TUW196618:TUW196624 TUW262154:TUW262160 TUW327690:TUW327696 TUW393226:TUW393232 TUW458762:TUW458768 TUW524298:TUW524304 TUW589834:TUW589840 TUW655370:TUW655376 TUW720906:TUW720912 TUW786442:TUW786448 TUW851978:TUW851984 TUW917514:TUW917520 TUW983050:TUW983056 UES8:UES14 UES65546:UES65552 UES131082:UES131088 UES196618:UES196624 UES262154:UES262160 UES327690:UES327696 UES393226:UES393232 UES458762:UES458768 UES524298:UES524304 UES589834:UES589840 UES655370:UES655376 UES720906:UES720912 UES786442:UES786448 UES851978:UES851984 UES917514:UES917520 UES983050:UES983056 UOO8:UOO14 UOO65546:UOO65552 UOO131082:UOO131088 UOO196618:UOO196624 UOO262154:UOO262160 UOO327690:UOO327696 UOO393226:UOO393232 UOO458762:UOO458768 UOO524298:UOO524304 UOO589834:UOO589840 UOO655370:UOO655376 UOO720906:UOO720912 UOO786442:UOO786448 UOO851978:UOO851984 UOO917514:UOO917520 UOO983050:UOO983056 UYK8:UYK14 UYK65546:UYK65552 UYK131082:UYK131088 UYK196618:UYK196624 UYK262154:UYK262160 UYK327690:UYK327696 UYK393226:UYK393232 UYK458762:UYK458768 UYK524298:UYK524304 UYK589834:UYK589840 UYK655370:UYK655376 UYK720906:UYK720912 UYK786442:UYK786448 UYK851978:UYK851984 UYK917514:UYK917520 UYK983050:UYK983056 VIG8:VIG14 VIG65546:VIG65552 VIG131082:VIG131088 VIG196618:VIG196624 VIG262154:VIG262160 VIG327690:VIG327696 VIG393226:VIG393232 VIG458762:VIG458768 VIG524298:VIG524304 VIG589834:VIG589840 VIG655370:VIG655376 VIG720906:VIG720912 VIG786442:VIG786448 VIG851978:VIG851984 VIG917514:VIG917520 VIG983050:VIG983056 VSC8:VSC14 VSC65546:VSC65552 VSC131082:VSC131088 VSC196618:VSC196624 VSC262154:VSC262160 VSC327690:VSC327696 VSC393226:VSC393232 VSC458762:VSC458768 VSC524298:VSC524304 VSC589834:VSC589840 VSC655370:VSC655376 VSC720906:VSC720912 VSC786442:VSC786448 VSC851978:VSC851984 VSC917514:VSC917520 VSC983050:VSC983056 WBY8:WBY14 WBY65546:WBY65552 WBY131082:WBY131088 WBY196618:WBY196624 WBY262154:WBY262160 WBY327690:WBY327696 WBY393226:WBY393232 WBY458762:WBY458768 WBY524298:WBY524304 WBY589834:WBY589840 WBY655370:WBY655376 WBY720906:WBY720912 WBY786442:WBY786448 WBY851978:WBY851984 WBY917514:WBY917520 WBY983050:WBY983056 WLU8:WLU14 WLU65546:WLU65552 WLU131082:WLU131088 WLU196618:WLU196624 WLU262154:WLU262160 WLU327690:WLU327696 WLU393226:WLU393232 WLU458762:WLU458768 WLU524298:WLU524304 WLU589834:WLU589840 WLU655370:WLU655376 WLU720906:WLU720912 WLU786442:WLU786448 WLU851978:WLU851984 WLU917514:WLU917520 WLU983050:WLU983056 WVQ8:WVQ14 WVQ65546:WVQ65552 WVQ131082:WVQ131088 WVQ196618:WVQ196624 WVQ262154:WVQ262160 WVQ327690:WVQ327696 WVQ393226:WVQ393232 WVQ458762:WVQ458768 WVQ524298:WVQ524304 WVQ589834:WVQ589840 WVQ655370:WVQ655376 WVQ720906:WVQ720912 WVQ786442:WVQ786448 WVQ851978:WVQ851984 WVQ917514:WVQ917520 WVQ983050:WVQ983056" xr:uid="{00000000-0002-0000-1D00-000001000000}">
      <formula1>"正确,错误"</formula1>
    </dataValidation>
  </dataValidations>
  <hyperlinks>
    <hyperlink ref="A1" location="UAT测试案例清单!A1" display="返回" xr:uid="{00000000-0004-0000-1D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J18"/>
  <sheetViews>
    <sheetView zoomScale="80" zoomScaleNormal="80" workbookViewId="0">
      <selection activeCell="B17" sqref="B17:D17"/>
    </sheetView>
  </sheetViews>
  <sheetFormatPr defaultColWidth="9" defaultRowHeight="12" x14ac:dyDescent="0.25"/>
  <cols>
    <col min="1" max="1" width="6.59765625" style="1" customWidth="1"/>
    <col min="2" max="2" width="19.69921875" style="1" customWidth="1"/>
    <col min="3" max="3" width="25.69921875" style="1" customWidth="1"/>
    <col min="4" max="4" width="51.69921875" style="1" customWidth="1"/>
    <col min="5" max="5" width="42.69921875"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51.69921875" style="1" customWidth="1"/>
    <col min="262" max="262" width="42.69921875"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51.69921875" style="1" customWidth="1"/>
    <col min="518" max="518" width="42.69921875"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51.69921875" style="1" customWidth="1"/>
    <col min="774" max="774" width="42.69921875"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51.69921875" style="1" customWidth="1"/>
    <col min="1030" max="1030" width="42.69921875"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51.69921875" style="1" customWidth="1"/>
    <col min="1286" max="1286" width="42.69921875"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51.69921875" style="1" customWidth="1"/>
    <col min="1542" max="1542" width="42.69921875"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51.69921875" style="1" customWidth="1"/>
    <col min="1798" max="1798" width="42.69921875"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51.69921875" style="1" customWidth="1"/>
    <col min="2054" max="2054" width="42.69921875"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51.69921875" style="1" customWidth="1"/>
    <col min="2310" max="2310" width="42.69921875"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51.69921875" style="1" customWidth="1"/>
    <col min="2566" max="2566" width="42.69921875"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51.69921875" style="1" customWidth="1"/>
    <col min="2822" max="2822" width="42.69921875"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51.69921875" style="1" customWidth="1"/>
    <col min="3078" max="3078" width="42.69921875"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51.69921875" style="1" customWidth="1"/>
    <col min="3334" max="3334" width="42.69921875"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51.69921875" style="1" customWidth="1"/>
    <col min="3590" max="3590" width="42.69921875"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51.69921875" style="1" customWidth="1"/>
    <col min="3846" max="3846" width="42.69921875"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51.69921875" style="1" customWidth="1"/>
    <col min="4102" max="4102" width="42.69921875"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51.69921875" style="1" customWidth="1"/>
    <col min="4358" max="4358" width="42.69921875"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51.69921875" style="1" customWidth="1"/>
    <col min="4614" max="4614" width="42.69921875"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51.69921875" style="1" customWidth="1"/>
    <col min="4870" max="4870" width="42.69921875"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51.69921875" style="1" customWidth="1"/>
    <col min="5126" max="5126" width="42.69921875"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51.69921875" style="1" customWidth="1"/>
    <col min="5382" max="5382" width="42.69921875"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51.69921875" style="1" customWidth="1"/>
    <col min="5638" max="5638" width="42.69921875"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51.69921875" style="1" customWidth="1"/>
    <col min="5894" max="5894" width="42.69921875"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51.69921875" style="1" customWidth="1"/>
    <col min="6150" max="6150" width="42.69921875"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51.69921875" style="1" customWidth="1"/>
    <col min="6406" max="6406" width="42.69921875"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51.69921875" style="1" customWidth="1"/>
    <col min="6662" max="6662" width="42.69921875"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51.69921875" style="1" customWidth="1"/>
    <col min="6918" max="6918" width="42.69921875"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51.69921875" style="1" customWidth="1"/>
    <col min="7174" max="7174" width="42.69921875"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51.69921875" style="1" customWidth="1"/>
    <col min="7430" max="7430" width="42.69921875"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51.69921875" style="1" customWidth="1"/>
    <col min="7686" max="7686" width="42.69921875"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51.69921875" style="1" customWidth="1"/>
    <col min="7942" max="7942" width="42.69921875"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51.69921875" style="1" customWidth="1"/>
    <col min="8198" max="8198" width="42.69921875"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51.69921875" style="1" customWidth="1"/>
    <col min="8454" max="8454" width="42.69921875"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51.69921875" style="1" customWidth="1"/>
    <col min="8710" max="8710" width="42.69921875"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51.69921875" style="1" customWidth="1"/>
    <col min="8966" max="8966" width="42.69921875"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51.69921875" style="1" customWidth="1"/>
    <col min="9222" max="9222" width="42.69921875"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51.69921875" style="1" customWidth="1"/>
    <col min="9478" max="9478" width="42.69921875"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51.69921875" style="1" customWidth="1"/>
    <col min="9734" max="9734" width="42.69921875"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51.69921875" style="1" customWidth="1"/>
    <col min="9990" max="9990" width="42.69921875"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51.69921875" style="1" customWidth="1"/>
    <col min="10246" max="10246" width="42.69921875"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51.69921875" style="1" customWidth="1"/>
    <col min="10502" max="10502" width="42.69921875"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51.69921875" style="1" customWidth="1"/>
    <col min="10758" max="10758" width="42.69921875"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51.69921875" style="1" customWidth="1"/>
    <col min="11014" max="11014" width="42.69921875"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51.69921875" style="1" customWidth="1"/>
    <col min="11270" max="11270" width="42.69921875"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51.69921875" style="1" customWidth="1"/>
    <col min="11526" max="11526" width="42.69921875"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51.69921875" style="1" customWidth="1"/>
    <col min="11782" max="11782" width="42.69921875"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51.69921875" style="1" customWidth="1"/>
    <col min="12038" max="12038" width="42.69921875"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51.69921875" style="1" customWidth="1"/>
    <col min="12294" max="12294" width="42.69921875"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51.69921875" style="1" customWidth="1"/>
    <col min="12550" max="12550" width="42.69921875"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51.69921875" style="1" customWidth="1"/>
    <col min="12806" max="12806" width="42.69921875"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51.69921875" style="1" customWidth="1"/>
    <col min="13062" max="13062" width="42.69921875"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51.69921875" style="1" customWidth="1"/>
    <col min="13318" max="13318" width="42.69921875"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51.69921875" style="1" customWidth="1"/>
    <col min="13574" max="13574" width="42.69921875"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51.69921875" style="1" customWidth="1"/>
    <col min="13830" max="13830" width="42.69921875"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51.69921875" style="1" customWidth="1"/>
    <col min="14086" max="14086" width="42.69921875"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51.69921875" style="1" customWidth="1"/>
    <col min="14342" max="14342" width="42.69921875"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51.69921875" style="1" customWidth="1"/>
    <col min="14598" max="14598" width="42.69921875"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51.69921875" style="1" customWidth="1"/>
    <col min="14854" max="14854" width="42.69921875"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51.69921875" style="1" customWidth="1"/>
    <col min="15110" max="15110" width="42.69921875"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51.69921875" style="1" customWidth="1"/>
    <col min="15366" max="15366" width="42.69921875"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51.69921875" style="1" customWidth="1"/>
    <col min="15622" max="15622" width="42.69921875"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51.69921875" style="1" customWidth="1"/>
    <col min="15878" max="15878" width="42.69921875"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51.69921875" style="1" customWidth="1"/>
    <col min="16134" max="16134" width="42.69921875"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16" t="s">
        <v>0</v>
      </c>
      <c r="C2" s="16" t="s">
        <v>85</v>
      </c>
      <c r="D2" s="16" t="s">
        <v>86</v>
      </c>
      <c r="E2" s="4" t="s">
        <v>87</v>
      </c>
      <c r="F2" s="4" t="s">
        <v>3</v>
      </c>
    </row>
    <row r="3" spans="1:10" ht="25.95" customHeight="1" x14ac:dyDescent="0.25">
      <c r="B3" s="5" t="s">
        <v>88</v>
      </c>
      <c r="C3" s="5" t="s">
        <v>55</v>
      </c>
      <c r="D3" s="5" t="s">
        <v>389</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55.95" customHeight="1" x14ac:dyDescent="0.25">
      <c r="B8" s="7" t="s">
        <v>283</v>
      </c>
      <c r="C8" s="5" t="s">
        <v>284</v>
      </c>
      <c r="D8" s="8" t="s">
        <v>390</v>
      </c>
      <c r="E8" s="5"/>
      <c r="F8" s="5"/>
      <c r="G8" s="7"/>
      <c r="H8" s="7"/>
      <c r="I8" s="11"/>
      <c r="J8" s="7"/>
    </row>
    <row r="9" spans="1:10" ht="48" customHeight="1" x14ac:dyDescent="0.25">
      <c r="B9" s="7" t="s">
        <v>24</v>
      </c>
      <c r="C9" s="5" t="s">
        <v>287</v>
      </c>
      <c r="D9" s="8" t="s">
        <v>288</v>
      </c>
      <c r="E9" s="5"/>
      <c r="F9" s="5"/>
      <c r="G9" s="7"/>
      <c r="H9" s="7"/>
      <c r="I9" s="11"/>
      <c r="J9" s="7"/>
    </row>
    <row r="10" spans="1:10" ht="53.55" customHeight="1" x14ac:dyDescent="0.25">
      <c r="B10" s="7" t="s">
        <v>289</v>
      </c>
      <c r="C10" s="7" t="s">
        <v>290</v>
      </c>
      <c r="D10" s="8" t="s">
        <v>391</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sheetData>
  <mergeCells count="3">
    <mergeCell ref="B1:E1"/>
    <mergeCell ref="B6:J6"/>
    <mergeCell ref="B16:D16"/>
  </mergeCells>
  <phoneticPr fontId="29" type="noConversion"/>
  <dataValidations count="2">
    <dataValidation type="list" allowBlank="1" showInputMessage="1" showErrorMessage="1" sqref="E3" xr:uid="{00000000-0002-0000-1E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1E00-000001000000}">
      <formula1>"正确,错误"</formula1>
    </dataValidation>
  </dataValidations>
  <hyperlinks>
    <hyperlink ref="A1" location="UAT测试案例清单!A1" display="返回" xr:uid="{00000000-0004-0000-1E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J25"/>
  <sheetViews>
    <sheetView zoomScale="80" zoomScaleNormal="80" workbookViewId="0">
      <selection activeCell="B18" sqref="B18:D18"/>
    </sheetView>
  </sheetViews>
  <sheetFormatPr defaultColWidth="9" defaultRowHeight="12" x14ac:dyDescent="0.25"/>
  <cols>
    <col min="1" max="1" width="6.59765625" style="1" customWidth="1"/>
    <col min="2" max="2" width="19.69921875" style="1" customWidth="1"/>
    <col min="3" max="3" width="25.69921875" style="1" customWidth="1"/>
    <col min="4" max="4" width="55.09765625" style="1" customWidth="1"/>
    <col min="5" max="5" width="58.296875"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55.09765625" style="1" customWidth="1"/>
    <col min="262" max="262" width="58.296875"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55.09765625" style="1" customWidth="1"/>
    <col min="518" max="518" width="58.296875"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55.09765625" style="1" customWidth="1"/>
    <col min="774" max="774" width="58.296875"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55.09765625" style="1" customWidth="1"/>
    <col min="1030" max="1030" width="58.296875"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55.09765625" style="1" customWidth="1"/>
    <col min="1286" max="1286" width="58.296875"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55.09765625" style="1" customWidth="1"/>
    <col min="1542" max="1542" width="58.296875"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55.09765625" style="1" customWidth="1"/>
    <col min="1798" max="1798" width="58.296875"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55.09765625" style="1" customWidth="1"/>
    <col min="2054" max="2054" width="58.296875"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55.09765625" style="1" customWidth="1"/>
    <col min="2310" max="2310" width="58.296875"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55.09765625" style="1" customWidth="1"/>
    <col min="2566" max="2566" width="58.296875"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55.09765625" style="1" customWidth="1"/>
    <col min="2822" max="2822" width="58.296875"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55.09765625" style="1" customWidth="1"/>
    <col min="3078" max="3078" width="58.296875"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55.09765625" style="1" customWidth="1"/>
    <col min="3334" max="3334" width="58.296875"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55.09765625" style="1" customWidth="1"/>
    <col min="3590" max="3590" width="58.296875"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55.09765625" style="1" customWidth="1"/>
    <col min="3846" max="3846" width="58.296875"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55.09765625" style="1" customWidth="1"/>
    <col min="4102" max="4102" width="58.296875"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55.09765625" style="1" customWidth="1"/>
    <col min="4358" max="4358" width="58.296875"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55.09765625" style="1" customWidth="1"/>
    <col min="4614" max="4614" width="58.296875"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55.09765625" style="1" customWidth="1"/>
    <col min="4870" max="4870" width="58.296875"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55.09765625" style="1" customWidth="1"/>
    <col min="5126" max="5126" width="58.296875"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55.09765625" style="1" customWidth="1"/>
    <col min="5382" max="5382" width="58.296875"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55.09765625" style="1" customWidth="1"/>
    <col min="5638" max="5638" width="58.296875"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55.09765625" style="1" customWidth="1"/>
    <col min="5894" max="5894" width="58.296875"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55.09765625" style="1" customWidth="1"/>
    <col min="6150" max="6150" width="58.296875"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55.09765625" style="1" customWidth="1"/>
    <col min="6406" max="6406" width="58.296875"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55.09765625" style="1" customWidth="1"/>
    <col min="6662" max="6662" width="58.296875"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55.09765625" style="1" customWidth="1"/>
    <col min="6918" max="6918" width="58.296875"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55.09765625" style="1" customWidth="1"/>
    <col min="7174" max="7174" width="58.296875"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55.09765625" style="1" customWidth="1"/>
    <col min="7430" max="7430" width="58.296875"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55.09765625" style="1" customWidth="1"/>
    <col min="7686" max="7686" width="58.296875"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55.09765625" style="1" customWidth="1"/>
    <col min="7942" max="7942" width="58.296875"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55.09765625" style="1" customWidth="1"/>
    <col min="8198" max="8198" width="58.296875"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55.09765625" style="1" customWidth="1"/>
    <col min="8454" max="8454" width="58.296875"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55.09765625" style="1" customWidth="1"/>
    <col min="8710" max="8710" width="58.296875"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55.09765625" style="1" customWidth="1"/>
    <col min="8966" max="8966" width="58.296875"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55.09765625" style="1" customWidth="1"/>
    <col min="9222" max="9222" width="58.296875"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55.09765625" style="1" customWidth="1"/>
    <col min="9478" max="9478" width="58.296875"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55.09765625" style="1" customWidth="1"/>
    <col min="9734" max="9734" width="58.296875"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55.09765625" style="1" customWidth="1"/>
    <col min="9990" max="9990" width="58.296875"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55.09765625" style="1" customWidth="1"/>
    <col min="10246" max="10246" width="58.296875"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55.09765625" style="1" customWidth="1"/>
    <col min="10502" max="10502" width="58.296875"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55.09765625" style="1" customWidth="1"/>
    <col min="10758" max="10758" width="58.296875"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55.09765625" style="1" customWidth="1"/>
    <col min="11014" max="11014" width="58.296875"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55.09765625" style="1" customWidth="1"/>
    <col min="11270" max="11270" width="58.296875"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55.09765625" style="1" customWidth="1"/>
    <col min="11526" max="11526" width="58.296875"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55.09765625" style="1" customWidth="1"/>
    <col min="11782" max="11782" width="58.296875"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55.09765625" style="1" customWidth="1"/>
    <col min="12038" max="12038" width="58.296875"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55.09765625" style="1" customWidth="1"/>
    <col min="12294" max="12294" width="58.296875"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55.09765625" style="1" customWidth="1"/>
    <col min="12550" max="12550" width="58.296875"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55.09765625" style="1" customWidth="1"/>
    <col min="12806" max="12806" width="58.296875"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55.09765625" style="1" customWidth="1"/>
    <col min="13062" max="13062" width="58.296875"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55.09765625" style="1" customWidth="1"/>
    <col min="13318" max="13318" width="58.296875"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55.09765625" style="1" customWidth="1"/>
    <col min="13574" max="13574" width="58.296875"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55.09765625" style="1" customWidth="1"/>
    <col min="13830" max="13830" width="58.296875"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55.09765625" style="1" customWidth="1"/>
    <col min="14086" max="14086" width="58.296875"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55.09765625" style="1" customWidth="1"/>
    <col min="14342" max="14342" width="58.296875"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55.09765625" style="1" customWidth="1"/>
    <col min="14598" max="14598" width="58.296875"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55.09765625" style="1" customWidth="1"/>
    <col min="14854" max="14854" width="58.296875"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55.09765625" style="1" customWidth="1"/>
    <col min="15110" max="15110" width="58.296875"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55.09765625" style="1" customWidth="1"/>
    <col min="15366" max="15366" width="58.296875"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55.09765625" style="1" customWidth="1"/>
    <col min="15622" max="15622" width="58.296875"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55.09765625" style="1" customWidth="1"/>
    <col min="15878" max="15878" width="58.296875"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55.09765625" style="1" customWidth="1"/>
    <col min="16134" max="16134" width="58.296875"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40.5" customHeight="1" x14ac:dyDescent="0.25">
      <c r="B3" s="5" t="s">
        <v>88</v>
      </c>
      <c r="C3" s="5" t="s">
        <v>57</v>
      </c>
      <c r="D3" s="5" t="s">
        <v>392</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76.5" customHeight="1" x14ac:dyDescent="0.25">
      <c r="B8" s="7" t="s">
        <v>283</v>
      </c>
      <c r="C8" s="5" t="s">
        <v>284</v>
      </c>
      <c r="D8" s="8" t="s">
        <v>393</v>
      </c>
      <c r="E8" s="5"/>
      <c r="F8" s="5"/>
      <c r="G8" s="7"/>
      <c r="H8" s="7"/>
      <c r="I8" s="11"/>
      <c r="J8" s="7"/>
    </row>
    <row r="9" spans="1:10" ht="102" customHeight="1" x14ac:dyDescent="0.25">
      <c r="B9" s="7" t="s">
        <v>283</v>
      </c>
      <c r="C9" s="5" t="s">
        <v>284</v>
      </c>
      <c r="D9" s="8" t="s">
        <v>394</v>
      </c>
      <c r="E9" s="5"/>
      <c r="F9" s="5"/>
      <c r="G9" s="7"/>
      <c r="H9" s="7"/>
      <c r="I9" s="11"/>
      <c r="J9" s="7"/>
    </row>
    <row r="10" spans="1:10" ht="48" customHeight="1" x14ac:dyDescent="0.25">
      <c r="B10" s="7" t="s">
        <v>24</v>
      </c>
      <c r="C10" s="5" t="s">
        <v>287</v>
      </c>
      <c r="D10" s="8" t="s">
        <v>288</v>
      </c>
      <c r="E10" s="5"/>
      <c r="F10" s="5"/>
      <c r="G10" s="7"/>
      <c r="H10" s="7"/>
      <c r="I10" s="11"/>
      <c r="J10" s="7"/>
    </row>
    <row r="11" spans="1:10" ht="53.55" customHeight="1" x14ac:dyDescent="0.25">
      <c r="B11" s="7" t="s">
        <v>289</v>
      </c>
      <c r="C11" s="7" t="s">
        <v>290</v>
      </c>
      <c r="D11" s="8" t="s">
        <v>395</v>
      </c>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B15" s="7"/>
      <c r="C15" s="7"/>
      <c r="D15" s="8"/>
      <c r="E15" s="5"/>
      <c r="F15" s="5"/>
      <c r="G15" s="7"/>
      <c r="H15" s="7"/>
      <c r="I15" s="11"/>
      <c r="J15" s="7"/>
    </row>
    <row r="16" spans="1:10" x14ac:dyDescent="0.25">
      <c r="E16" s="9"/>
      <c r="F16" s="9"/>
      <c r="G16" s="9"/>
      <c r="H16" s="9"/>
      <c r="I16" s="11"/>
      <c r="J16" s="9"/>
    </row>
    <row r="17" spans="2:10" ht="14.4" x14ac:dyDescent="0.25">
      <c r="B17" s="90" t="s">
        <v>118</v>
      </c>
      <c r="C17" s="91"/>
      <c r="D17" s="91"/>
      <c r="E17" s="9"/>
      <c r="F17" s="9"/>
      <c r="G17" s="9"/>
      <c r="H17" s="9"/>
      <c r="I17" s="11"/>
      <c r="J17" s="9"/>
    </row>
    <row r="18" spans="2:10" x14ac:dyDescent="0.25">
      <c r="B18" s="4" t="s">
        <v>119</v>
      </c>
      <c r="C18" s="4" t="s">
        <v>120</v>
      </c>
      <c r="D18" s="4" t="s">
        <v>121</v>
      </c>
    </row>
    <row r="19" spans="2:10" x14ac:dyDescent="0.25">
      <c r="B19" s="7" t="s">
        <v>122</v>
      </c>
      <c r="C19" s="7"/>
      <c r="D19" s="7"/>
    </row>
    <row r="23" spans="2:10" ht="21" customHeight="1" x14ac:dyDescent="0.25">
      <c r="B23" s="101" t="s">
        <v>396</v>
      </c>
      <c r="C23" s="102"/>
      <c r="D23" s="103"/>
    </row>
    <row r="24" spans="2:10" ht="21.45" customHeight="1" x14ac:dyDescent="0.25">
      <c r="B24" s="1" t="s">
        <v>397</v>
      </c>
    </row>
    <row r="25" spans="2:10" ht="21.45" customHeight="1" x14ac:dyDescent="0.25">
      <c r="B25" s="1" t="s">
        <v>398</v>
      </c>
    </row>
  </sheetData>
  <mergeCells count="4">
    <mergeCell ref="B1:E1"/>
    <mergeCell ref="B6:J6"/>
    <mergeCell ref="B17:D17"/>
    <mergeCell ref="B23:D23"/>
  </mergeCells>
  <phoneticPr fontId="29" type="noConversion"/>
  <dataValidations count="2">
    <dataValidation type="list" allowBlank="1" showInputMessage="1" showErrorMessage="1" sqref="E3" xr:uid="{00000000-0002-0000-1F00-000000000000}">
      <formula1>"通过,部分通过,不通过"</formula1>
    </dataValidation>
    <dataValidation type="list" allowBlank="1" showInputMessage="1" showErrorMessage="1" sqref="H8:H15 H65544:H65551 H131080:H131087 H196616:H196623 H262152:H262159 H327688:H327695 H393224:H393231 H458760:H458767 H524296:H524303 H589832:H589839 H655368:H655375 H720904:H720911 H786440:H786447 H851976:H851983 H917512:H917519 H983048:H983055 JE8:JE15 JE65544:JE65551 JE131080:JE131087 JE196616:JE196623 JE262152:JE262159 JE327688:JE327695 JE393224:JE393231 JE458760:JE458767 JE524296:JE524303 JE589832:JE589839 JE655368:JE655375 JE720904:JE720911 JE786440:JE786447 JE851976:JE851983 JE917512:JE917519 JE983048:JE983055 TA8:TA15 TA65544:TA65551 TA131080:TA131087 TA196616:TA196623 TA262152:TA262159 TA327688:TA327695 TA393224:TA393231 TA458760:TA458767 TA524296:TA524303 TA589832:TA589839 TA655368:TA655375 TA720904:TA720911 TA786440:TA786447 TA851976:TA851983 TA917512:TA917519 TA983048:TA983055 ACW8:ACW15 ACW65544:ACW65551 ACW131080:ACW131087 ACW196616:ACW196623 ACW262152:ACW262159 ACW327688:ACW327695 ACW393224:ACW393231 ACW458760:ACW458767 ACW524296:ACW524303 ACW589832:ACW589839 ACW655368:ACW655375 ACW720904:ACW720911 ACW786440:ACW786447 ACW851976:ACW851983 ACW917512:ACW917519 ACW983048:ACW983055 AMS8:AMS15 AMS65544:AMS65551 AMS131080:AMS131087 AMS196616:AMS196623 AMS262152:AMS262159 AMS327688:AMS327695 AMS393224:AMS393231 AMS458760:AMS458767 AMS524296:AMS524303 AMS589832:AMS589839 AMS655368:AMS655375 AMS720904:AMS720911 AMS786440:AMS786447 AMS851976:AMS851983 AMS917512:AMS917519 AMS983048:AMS983055 AWO8:AWO15 AWO65544:AWO65551 AWO131080:AWO131087 AWO196616:AWO196623 AWO262152:AWO262159 AWO327688:AWO327695 AWO393224:AWO393231 AWO458760:AWO458767 AWO524296:AWO524303 AWO589832:AWO589839 AWO655368:AWO655375 AWO720904:AWO720911 AWO786440:AWO786447 AWO851976:AWO851983 AWO917512:AWO917519 AWO983048:AWO983055 BGK8:BGK15 BGK65544:BGK65551 BGK131080:BGK131087 BGK196616:BGK196623 BGK262152:BGK262159 BGK327688:BGK327695 BGK393224:BGK393231 BGK458760:BGK458767 BGK524296:BGK524303 BGK589832:BGK589839 BGK655368:BGK655375 BGK720904:BGK720911 BGK786440:BGK786447 BGK851976:BGK851983 BGK917512:BGK917519 BGK983048:BGK983055 BQG8:BQG15 BQG65544:BQG65551 BQG131080:BQG131087 BQG196616:BQG196623 BQG262152:BQG262159 BQG327688:BQG327695 BQG393224:BQG393231 BQG458760:BQG458767 BQG524296:BQG524303 BQG589832:BQG589839 BQG655368:BQG655375 BQG720904:BQG720911 BQG786440:BQG786447 BQG851976:BQG851983 BQG917512:BQG917519 BQG983048:BQG983055 CAC8:CAC15 CAC65544:CAC65551 CAC131080:CAC131087 CAC196616:CAC196623 CAC262152:CAC262159 CAC327688:CAC327695 CAC393224:CAC393231 CAC458760:CAC458767 CAC524296:CAC524303 CAC589832:CAC589839 CAC655368:CAC655375 CAC720904:CAC720911 CAC786440:CAC786447 CAC851976:CAC851983 CAC917512:CAC917519 CAC983048:CAC983055 CJY8:CJY15 CJY65544:CJY65551 CJY131080:CJY131087 CJY196616:CJY196623 CJY262152:CJY262159 CJY327688:CJY327695 CJY393224:CJY393231 CJY458760:CJY458767 CJY524296:CJY524303 CJY589832:CJY589839 CJY655368:CJY655375 CJY720904:CJY720911 CJY786440:CJY786447 CJY851976:CJY851983 CJY917512:CJY917519 CJY983048:CJY983055 CTU8:CTU15 CTU65544:CTU65551 CTU131080:CTU131087 CTU196616:CTU196623 CTU262152:CTU262159 CTU327688:CTU327695 CTU393224:CTU393231 CTU458760:CTU458767 CTU524296:CTU524303 CTU589832:CTU589839 CTU655368:CTU655375 CTU720904:CTU720911 CTU786440:CTU786447 CTU851976:CTU851983 CTU917512:CTU917519 CTU983048:CTU983055 DDQ8:DDQ15 DDQ65544:DDQ65551 DDQ131080:DDQ131087 DDQ196616:DDQ196623 DDQ262152:DDQ262159 DDQ327688:DDQ327695 DDQ393224:DDQ393231 DDQ458760:DDQ458767 DDQ524296:DDQ524303 DDQ589832:DDQ589839 DDQ655368:DDQ655375 DDQ720904:DDQ720911 DDQ786440:DDQ786447 DDQ851976:DDQ851983 DDQ917512:DDQ917519 DDQ983048:DDQ983055 DNM8:DNM15 DNM65544:DNM65551 DNM131080:DNM131087 DNM196616:DNM196623 DNM262152:DNM262159 DNM327688:DNM327695 DNM393224:DNM393231 DNM458760:DNM458767 DNM524296:DNM524303 DNM589832:DNM589839 DNM655368:DNM655375 DNM720904:DNM720911 DNM786440:DNM786447 DNM851976:DNM851983 DNM917512:DNM917519 DNM983048:DNM983055 DXI8:DXI15 DXI65544:DXI65551 DXI131080:DXI131087 DXI196616:DXI196623 DXI262152:DXI262159 DXI327688:DXI327695 DXI393224:DXI393231 DXI458760:DXI458767 DXI524296:DXI524303 DXI589832:DXI589839 DXI655368:DXI655375 DXI720904:DXI720911 DXI786440:DXI786447 DXI851976:DXI851983 DXI917512:DXI917519 DXI983048:DXI983055 EHE8:EHE15 EHE65544:EHE65551 EHE131080:EHE131087 EHE196616:EHE196623 EHE262152:EHE262159 EHE327688:EHE327695 EHE393224:EHE393231 EHE458760:EHE458767 EHE524296:EHE524303 EHE589832:EHE589839 EHE655368:EHE655375 EHE720904:EHE720911 EHE786440:EHE786447 EHE851976:EHE851983 EHE917512:EHE917519 EHE983048:EHE983055 ERA8:ERA15 ERA65544:ERA65551 ERA131080:ERA131087 ERA196616:ERA196623 ERA262152:ERA262159 ERA327688:ERA327695 ERA393224:ERA393231 ERA458760:ERA458767 ERA524296:ERA524303 ERA589832:ERA589839 ERA655368:ERA655375 ERA720904:ERA720911 ERA786440:ERA786447 ERA851976:ERA851983 ERA917512:ERA917519 ERA983048:ERA983055 FAW8:FAW15 FAW65544:FAW65551 FAW131080:FAW131087 FAW196616:FAW196623 FAW262152:FAW262159 FAW327688:FAW327695 FAW393224:FAW393231 FAW458760:FAW458767 FAW524296:FAW524303 FAW589832:FAW589839 FAW655368:FAW655375 FAW720904:FAW720911 FAW786440:FAW786447 FAW851976:FAW851983 FAW917512:FAW917519 FAW983048:FAW983055 FKS8:FKS15 FKS65544:FKS65551 FKS131080:FKS131087 FKS196616:FKS196623 FKS262152:FKS262159 FKS327688:FKS327695 FKS393224:FKS393231 FKS458760:FKS458767 FKS524296:FKS524303 FKS589832:FKS589839 FKS655368:FKS655375 FKS720904:FKS720911 FKS786440:FKS786447 FKS851976:FKS851983 FKS917512:FKS917519 FKS983048:FKS983055 FUO8:FUO15 FUO65544:FUO65551 FUO131080:FUO131087 FUO196616:FUO196623 FUO262152:FUO262159 FUO327688:FUO327695 FUO393224:FUO393231 FUO458760:FUO458767 FUO524296:FUO524303 FUO589832:FUO589839 FUO655368:FUO655375 FUO720904:FUO720911 FUO786440:FUO786447 FUO851976:FUO851983 FUO917512:FUO917519 FUO983048:FUO983055 GEK8:GEK15 GEK65544:GEK65551 GEK131080:GEK131087 GEK196616:GEK196623 GEK262152:GEK262159 GEK327688:GEK327695 GEK393224:GEK393231 GEK458760:GEK458767 GEK524296:GEK524303 GEK589832:GEK589839 GEK655368:GEK655375 GEK720904:GEK720911 GEK786440:GEK786447 GEK851976:GEK851983 GEK917512:GEK917519 GEK983048:GEK983055 GOG8:GOG15 GOG65544:GOG65551 GOG131080:GOG131087 GOG196616:GOG196623 GOG262152:GOG262159 GOG327688:GOG327695 GOG393224:GOG393231 GOG458760:GOG458767 GOG524296:GOG524303 GOG589832:GOG589839 GOG655368:GOG655375 GOG720904:GOG720911 GOG786440:GOG786447 GOG851976:GOG851983 GOG917512:GOG917519 GOG983048:GOG983055 GYC8:GYC15 GYC65544:GYC65551 GYC131080:GYC131087 GYC196616:GYC196623 GYC262152:GYC262159 GYC327688:GYC327695 GYC393224:GYC393231 GYC458760:GYC458767 GYC524296:GYC524303 GYC589832:GYC589839 GYC655368:GYC655375 GYC720904:GYC720911 GYC786440:GYC786447 GYC851976:GYC851983 GYC917512:GYC917519 GYC983048:GYC983055 HHY8:HHY15 HHY65544:HHY65551 HHY131080:HHY131087 HHY196616:HHY196623 HHY262152:HHY262159 HHY327688:HHY327695 HHY393224:HHY393231 HHY458760:HHY458767 HHY524296:HHY524303 HHY589832:HHY589839 HHY655368:HHY655375 HHY720904:HHY720911 HHY786440:HHY786447 HHY851976:HHY851983 HHY917512:HHY917519 HHY983048:HHY983055 HRU8:HRU15 HRU65544:HRU65551 HRU131080:HRU131087 HRU196616:HRU196623 HRU262152:HRU262159 HRU327688:HRU327695 HRU393224:HRU393231 HRU458760:HRU458767 HRU524296:HRU524303 HRU589832:HRU589839 HRU655368:HRU655375 HRU720904:HRU720911 HRU786440:HRU786447 HRU851976:HRU851983 HRU917512:HRU917519 HRU983048:HRU983055 IBQ8:IBQ15 IBQ65544:IBQ65551 IBQ131080:IBQ131087 IBQ196616:IBQ196623 IBQ262152:IBQ262159 IBQ327688:IBQ327695 IBQ393224:IBQ393231 IBQ458760:IBQ458767 IBQ524296:IBQ524303 IBQ589832:IBQ589839 IBQ655368:IBQ655375 IBQ720904:IBQ720911 IBQ786440:IBQ786447 IBQ851976:IBQ851983 IBQ917512:IBQ917519 IBQ983048:IBQ983055 ILM8:ILM15 ILM65544:ILM65551 ILM131080:ILM131087 ILM196616:ILM196623 ILM262152:ILM262159 ILM327688:ILM327695 ILM393224:ILM393231 ILM458760:ILM458767 ILM524296:ILM524303 ILM589832:ILM589839 ILM655368:ILM655375 ILM720904:ILM720911 ILM786440:ILM786447 ILM851976:ILM851983 ILM917512:ILM917519 ILM983048:ILM983055 IVI8:IVI15 IVI65544:IVI65551 IVI131080:IVI131087 IVI196616:IVI196623 IVI262152:IVI262159 IVI327688:IVI327695 IVI393224:IVI393231 IVI458760:IVI458767 IVI524296:IVI524303 IVI589832:IVI589839 IVI655368:IVI655375 IVI720904:IVI720911 IVI786440:IVI786447 IVI851976:IVI851983 IVI917512:IVI917519 IVI983048:IVI983055 JFE8:JFE15 JFE65544:JFE65551 JFE131080:JFE131087 JFE196616:JFE196623 JFE262152:JFE262159 JFE327688:JFE327695 JFE393224:JFE393231 JFE458760:JFE458767 JFE524296:JFE524303 JFE589832:JFE589839 JFE655368:JFE655375 JFE720904:JFE720911 JFE786440:JFE786447 JFE851976:JFE851983 JFE917512:JFE917519 JFE983048:JFE983055 JPA8:JPA15 JPA65544:JPA65551 JPA131080:JPA131087 JPA196616:JPA196623 JPA262152:JPA262159 JPA327688:JPA327695 JPA393224:JPA393231 JPA458760:JPA458767 JPA524296:JPA524303 JPA589832:JPA589839 JPA655368:JPA655375 JPA720904:JPA720911 JPA786440:JPA786447 JPA851976:JPA851983 JPA917512:JPA917519 JPA983048:JPA983055 JYW8:JYW15 JYW65544:JYW65551 JYW131080:JYW131087 JYW196616:JYW196623 JYW262152:JYW262159 JYW327688:JYW327695 JYW393224:JYW393231 JYW458760:JYW458767 JYW524296:JYW524303 JYW589832:JYW589839 JYW655368:JYW655375 JYW720904:JYW720911 JYW786440:JYW786447 JYW851976:JYW851983 JYW917512:JYW917519 JYW983048:JYW983055 KIS8:KIS15 KIS65544:KIS65551 KIS131080:KIS131087 KIS196616:KIS196623 KIS262152:KIS262159 KIS327688:KIS327695 KIS393224:KIS393231 KIS458760:KIS458767 KIS524296:KIS524303 KIS589832:KIS589839 KIS655368:KIS655375 KIS720904:KIS720911 KIS786440:KIS786447 KIS851976:KIS851983 KIS917512:KIS917519 KIS983048:KIS983055 KSO8:KSO15 KSO65544:KSO65551 KSO131080:KSO131087 KSO196616:KSO196623 KSO262152:KSO262159 KSO327688:KSO327695 KSO393224:KSO393231 KSO458760:KSO458767 KSO524296:KSO524303 KSO589832:KSO589839 KSO655368:KSO655375 KSO720904:KSO720911 KSO786440:KSO786447 KSO851976:KSO851983 KSO917512:KSO917519 KSO983048:KSO983055 LCK8:LCK15 LCK65544:LCK65551 LCK131080:LCK131087 LCK196616:LCK196623 LCK262152:LCK262159 LCK327688:LCK327695 LCK393224:LCK393231 LCK458760:LCK458767 LCK524296:LCK524303 LCK589832:LCK589839 LCK655368:LCK655375 LCK720904:LCK720911 LCK786440:LCK786447 LCK851976:LCK851983 LCK917512:LCK917519 LCK983048:LCK983055 LMG8:LMG15 LMG65544:LMG65551 LMG131080:LMG131087 LMG196616:LMG196623 LMG262152:LMG262159 LMG327688:LMG327695 LMG393224:LMG393231 LMG458760:LMG458767 LMG524296:LMG524303 LMG589832:LMG589839 LMG655368:LMG655375 LMG720904:LMG720911 LMG786440:LMG786447 LMG851976:LMG851983 LMG917512:LMG917519 LMG983048:LMG983055 LWC8:LWC15 LWC65544:LWC65551 LWC131080:LWC131087 LWC196616:LWC196623 LWC262152:LWC262159 LWC327688:LWC327695 LWC393224:LWC393231 LWC458760:LWC458767 LWC524296:LWC524303 LWC589832:LWC589839 LWC655368:LWC655375 LWC720904:LWC720911 LWC786440:LWC786447 LWC851976:LWC851983 LWC917512:LWC917519 LWC983048:LWC983055 MFY8:MFY15 MFY65544:MFY65551 MFY131080:MFY131087 MFY196616:MFY196623 MFY262152:MFY262159 MFY327688:MFY327695 MFY393224:MFY393231 MFY458760:MFY458767 MFY524296:MFY524303 MFY589832:MFY589839 MFY655368:MFY655375 MFY720904:MFY720911 MFY786440:MFY786447 MFY851976:MFY851983 MFY917512:MFY917519 MFY983048:MFY983055 MPU8:MPU15 MPU65544:MPU65551 MPU131080:MPU131087 MPU196616:MPU196623 MPU262152:MPU262159 MPU327688:MPU327695 MPU393224:MPU393231 MPU458760:MPU458767 MPU524296:MPU524303 MPU589832:MPU589839 MPU655368:MPU655375 MPU720904:MPU720911 MPU786440:MPU786447 MPU851976:MPU851983 MPU917512:MPU917519 MPU983048:MPU983055 MZQ8:MZQ15 MZQ65544:MZQ65551 MZQ131080:MZQ131087 MZQ196616:MZQ196623 MZQ262152:MZQ262159 MZQ327688:MZQ327695 MZQ393224:MZQ393231 MZQ458760:MZQ458767 MZQ524296:MZQ524303 MZQ589832:MZQ589839 MZQ655368:MZQ655375 MZQ720904:MZQ720911 MZQ786440:MZQ786447 MZQ851976:MZQ851983 MZQ917512:MZQ917519 MZQ983048:MZQ983055 NJM8:NJM15 NJM65544:NJM65551 NJM131080:NJM131087 NJM196616:NJM196623 NJM262152:NJM262159 NJM327688:NJM327695 NJM393224:NJM393231 NJM458760:NJM458767 NJM524296:NJM524303 NJM589832:NJM589839 NJM655368:NJM655375 NJM720904:NJM720911 NJM786440:NJM786447 NJM851976:NJM851983 NJM917512:NJM917519 NJM983048:NJM983055 NTI8:NTI15 NTI65544:NTI65551 NTI131080:NTI131087 NTI196616:NTI196623 NTI262152:NTI262159 NTI327688:NTI327695 NTI393224:NTI393231 NTI458760:NTI458767 NTI524296:NTI524303 NTI589832:NTI589839 NTI655368:NTI655375 NTI720904:NTI720911 NTI786440:NTI786447 NTI851976:NTI851983 NTI917512:NTI917519 NTI983048:NTI983055 ODE8:ODE15 ODE65544:ODE65551 ODE131080:ODE131087 ODE196616:ODE196623 ODE262152:ODE262159 ODE327688:ODE327695 ODE393224:ODE393231 ODE458760:ODE458767 ODE524296:ODE524303 ODE589832:ODE589839 ODE655368:ODE655375 ODE720904:ODE720911 ODE786440:ODE786447 ODE851976:ODE851983 ODE917512:ODE917519 ODE983048:ODE983055 ONA8:ONA15 ONA65544:ONA65551 ONA131080:ONA131087 ONA196616:ONA196623 ONA262152:ONA262159 ONA327688:ONA327695 ONA393224:ONA393231 ONA458760:ONA458767 ONA524296:ONA524303 ONA589832:ONA589839 ONA655368:ONA655375 ONA720904:ONA720911 ONA786440:ONA786447 ONA851976:ONA851983 ONA917512:ONA917519 ONA983048:ONA983055 OWW8:OWW15 OWW65544:OWW65551 OWW131080:OWW131087 OWW196616:OWW196623 OWW262152:OWW262159 OWW327688:OWW327695 OWW393224:OWW393231 OWW458760:OWW458767 OWW524296:OWW524303 OWW589832:OWW589839 OWW655368:OWW655375 OWW720904:OWW720911 OWW786440:OWW786447 OWW851976:OWW851983 OWW917512:OWW917519 OWW983048:OWW983055 PGS8:PGS15 PGS65544:PGS65551 PGS131080:PGS131087 PGS196616:PGS196623 PGS262152:PGS262159 PGS327688:PGS327695 PGS393224:PGS393231 PGS458760:PGS458767 PGS524296:PGS524303 PGS589832:PGS589839 PGS655368:PGS655375 PGS720904:PGS720911 PGS786440:PGS786447 PGS851976:PGS851983 PGS917512:PGS917519 PGS983048:PGS983055 PQO8:PQO15 PQO65544:PQO65551 PQO131080:PQO131087 PQO196616:PQO196623 PQO262152:PQO262159 PQO327688:PQO327695 PQO393224:PQO393231 PQO458760:PQO458767 PQO524296:PQO524303 PQO589832:PQO589839 PQO655368:PQO655375 PQO720904:PQO720911 PQO786440:PQO786447 PQO851976:PQO851983 PQO917512:PQO917519 PQO983048:PQO983055 QAK8:QAK15 QAK65544:QAK65551 QAK131080:QAK131087 QAK196616:QAK196623 QAK262152:QAK262159 QAK327688:QAK327695 QAK393224:QAK393231 QAK458760:QAK458767 QAK524296:QAK524303 QAK589832:QAK589839 QAK655368:QAK655375 QAK720904:QAK720911 QAK786440:QAK786447 QAK851976:QAK851983 QAK917512:QAK917519 QAK983048:QAK983055 QKG8:QKG15 QKG65544:QKG65551 QKG131080:QKG131087 QKG196616:QKG196623 QKG262152:QKG262159 QKG327688:QKG327695 QKG393224:QKG393231 QKG458760:QKG458767 QKG524296:QKG524303 QKG589832:QKG589839 QKG655368:QKG655375 QKG720904:QKG720911 QKG786440:QKG786447 QKG851976:QKG851983 QKG917512:QKG917519 QKG983048:QKG983055 QUC8:QUC15 QUC65544:QUC65551 QUC131080:QUC131087 QUC196616:QUC196623 QUC262152:QUC262159 QUC327688:QUC327695 QUC393224:QUC393231 QUC458760:QUC458767 QUC524296:QUC524303 QUC589832:QUC589839 QUC655368:QUC655375 QUC720904:QUC720911 QUC786440:QUC786447 QUC851976:QUC851983 QUC917512:QUC917519 QUC983048:QUC983055 RDY8:RDY15 RDY65544:RDY65551 RDY131080:RDY131087 RDY196616:RDY196623 RDY262152:RDY262159 RDY327688:RDY327695 RDY393224:RDY393231 RDY458760:RDY458767 RDY524296:RDY524303 RDY589832:RDY589839 RDY655368:RDY655375 RDY720904:RDY720911 RDY786440:RDY786447 RDY851976:RDY851983 RDY917512:RDY917519 RDY983048:RDY983055 RNU8:RNU15 RNU65544:RNU65551 RNU131080:RNU131087 RNU196616:RNU196623 RNU262152:RNU262159 RNU327688:RNU327695 RNU393224:RNU393231 RNU458760:RNU458767 RNU524296:RNU524303 RNU589832:RNU589839 RNU655368:RNU655375 RNU720904:RNU720911 RNU786440:RNU786447 RNU851976:RNU851983 RNU917512:RNU917519 RNU983048:RNU983055 RXQ8:RXQ15 RXQ65544:RXQ65551 RXQ131080:RXQ131087 RXQ196616:RXQ196623 RXQ262152:RXQ262159 RXQ327688:RXQ327695 RXQ393224:RXQ393231 RXQ458760:RXQ458767 RXQ524296:RXQ524303 RXQ589832:RXQ589839 RXQ655368:RXQ655375 RXQ720904:RXQ720911 RXQ786440:RXQ786447 RXQ851976:RXQ851983 RXQ917512:RXQ917519 RXQ983048:RXQ983055 SHM8:SHM15 SHM65544:SHM65551 SHM131080:SHM131087 SHM196616:SHM196623 SHM262152:SHM262159 SHM327688:SHM327695 SHM393224:SHM393231 SHM458760:SHM458767 SHM524296:SHM524303 SHM589832:SHM589839 SHM655368:SHM655375 SHM720904:SHM720911 SHM786440:SHM786447 SHM851976:SHM851983 SHM917512:SHM917519 SHM983048:SHM983055 SRI8:SRI15 SRI65544:SRI65551 SRI131080:SRI131087 SRI196616:SRI196623 SRI262152:SRI262159 SRI327688:SRI327695 SRI393224:SRI393231 SRI458760:SRI458767 SRI524296:SRI524303 SRI589832:SRI589839 SRI655368:SRI655375 SRI720904:SRI720911 SRI786440:SRI786447 SRI851976:SRI851983 SRI917512:SRI917519 SRI983048:SRI983055 TBE8:TBE15 TBE65544:TBE65551 TBE131080:TBE131087 TBE196616:TBE196623 TBE262152:TBE262159 TBE327688:TBE327695 TBE393224:TBE393231 TBE458760:TBE458767 TBE524296:TBE524303 TBE589832:TBE589839 TBE655368:TBE655375 TBE720904:TBE720911 TBE786440:TBE786447 TBE851976:TBE851983 TBE917512:TBE917519 TBE983048:TBE983055 TLA8:TLA15 TLA65544:TLA65551 TLA131080:TLA131087 TLA196616:TLA196623 TLA262152:TLA262159 TLA327688:TLA327695 TLA393224:TLA393231 TLA458760:TLA458767 TLA524296:TLA524303 TLA589832:TLA589839 TLA655368:TLA655375 TLA720904:TLA720911 TLA786440:TLA786447 TLA851976:TLA851983 TLA917512:TLA917519 TLA983048:TLA983055 TUW8:TUW15 TUW65544:TUW65551 TUW131080:TUW131087 TUW196616:TUW196623 TUW262152:TUW262159 TUW327688:TUW327695 TUW393224:TUW393231 TUW458760:TUW458767 TUW524296:TUW524303 TUW589832:TUW589839 TUW655368:TUW655375 TUW720904:TUW720911 TUW786440:TUW786447 TUW851976:TUW851983 TUW917512:TUW917519 TUW983048:TUW983055 UES8:UES15 UES65544:UES65551 UES131080:UES131087 UES196616:UES196623 UES262152:UES262159 UES327688:UES327695 UES393224:UES393231 UES458760:UES458767 UES524296:UES524303 UES589832:UES589839 UES655368:UES655375 UES720904:UES720911 UES786440:UES786447 UES851976:UES851983 UES917512:UES917519 UES983048:UES983055 UOO8:UOO15 UOO65544:UOO65551 UOO131080:UOO131087 UOO196616:UOO196623 UOO262152:UOO262159 UOO327688:UOO327695 UOO393224:UOO393231 UOO458760:UOO458767 UOO524296:UOO524303 UOO589832:UOO589839 UOO655368:UOO655375 UOO720904:UOO720911 UOO786440:UOO786447 UOO851976:UOO851983 UOO917512:UOO917519 UOO983048:UOO983055 UYK8:UYK15 UYK65544:UYK65551 UYK131080:UYK131087 UYK196616:UYK196623 UYK262152:UYK262159 UYK327688:UYK327695 UYK393224:UYK393231 UYK458760:UYK458767 UYK524296:UYK524303 UYK589832:UYK589839 UYK655368:UYK655375 UYK720904:UYK720911 UYK786440:UYK786447 UYK851976:UYK851983 UYK917512:UYK917519 UYK983048:UYK983055 VIG8:VIG15 VIG65544:VIG65551 VIG131080:VIG131087 VIG196616:VIG196623 VIG262152:VIG262159 VIG327688:VIG327695 VIG393224:VIG393231 VIG458760:VIG458767 VIG524296:VIG524303 VIG589832:VIG589839 VIG655368:VIG655375 VIG720904:VIG720911 VIG786440:VIG786447 VIG851976:VIG851983 VIG917512:VIG917519 VIG983048:VIG983055 VSC8:VSC15 VSC65544:VSC65551 VSC131080:VSC131087 VSC196616:VSC196623 VSC262152:VSC262159 VSC327688:VSC327695 VSC393224:VSC393231 VSC458760:VSC458767 VSC524296:VSC524303 VSC589832:VSC589839 VSC655368:VSC655375 VSC720904:VSC720911 VSC786440:VSC786447 VSC851976:VSC851983 VSC917512:VSC917519 VSC983048:VSC983055 WBY8:WBY15 WBY65544:WBY65551 WBY131080:WBY131087 WBY196616:WBY196623 WBY262152:WBY262159 WBY327688:WBY327695 WBY393224:WBY393231 WBY458760:WBY458767 WBY524296:WBY524303 WBY589832:WBY589839 WBY655368:WBY655375 WBY720904:WBY720911 WBY786440:WBY786447 WBY851976:WBY851983 WBY917512:WBY917519 WBY983048:WBY983055 WLU8:WLU15 WLU65544:WLU65551 WLU131080:WLU131087 WLU196616:WLU196623 WLU262152:WLU262159 WLU327688:WLU327695 WLU393224:WLU393231 WLU458760:WLU458767 WLU524296:WLU524303 WLU589832:WLU589839 WLU655368:WLU655375 WLU720904:WLU720911 WLU786440:WLU786447 WLU851976:WLU851983 WLU917512:WLU917519 WLU983048:WLU983055 WVQ8:WVQ15 WVQ65544:WVQ65551 WVQ131080:WVQ131087 WVQ196616:WVQ196623 WVQ262152:WVQ262159 WVQ327688:WVQ327695 WVQ393224:WVQ393231 WVQ458760:WVQ458767 WVQ524296:WVQ524303 WVQ589832:WVQ589839 WVQ655368:WVQ655375 WVQ720904:WVQ720911 WVQ786440:WVQ786447 WVQ851976:WVQ851983 WVQ917512:WVQ917519 WVQ983048:WVQ983055" xr:uid="{00000000-0002-0000-1F00-000001000000}">
      <formula1>"正确,错误"</formula1>
    </dataValidation>
  </dataValidations>
  <hyperlinks>
    <hyperlink ref="A1" location="UAT测试案例清单!A1" display="返回" xr:uid="{00000000-0004-0000-1F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J18"/>
  <sheetViews>
    <sheetView zoomScale="80" zoomScaleNormal="80" workbookViewId="0">
      <selection activeCell="B17" sqref="B17:D17"/>
    </sheetView>
  </sheetViews>
  <sheetFormatPr defaultColWidth="9" defaultRowHeight="12" x14ac:dyDescent="0.25"/>
  <cols>
    <col min="1" max="1" width="6.59765625" style="1" customWidth="1"/>
    <col min="2" max="2" width="19.69921875" style="1" customWidth="1"/>
    <col min="3" max="3" width="30.3984375" style="1" customWidth="1"/>
    <col min="4" max="4" width="64.19921875" style="1" customWidth="1"/>
    <col min="5" max="5" width="42.69921875"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30.3984375" style="1" customWidth="1"/>
    <col min="261" max="261" width="64.19921875" style="1" customWidth="1"/>
    <col min="262" max="262" width="42.69921875"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30.3984375" style="1" customWidth="1"/>
    <col min="517" max="517" width="64.19921875" style="1" customWidth="1"/>
    <col min="518" max="518" width="42.69921875"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30.3984375" style="1" customWidth="1"/>
    <col min="773" max="773" width="64.19921875" style="1" customWidth="1"/>
    <col min="774" max="774" width="42.69921875"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30.3984375" style="1" customWidth="1"/>
    <col min="1029" max="1029" width="64.19921875" style="1" customWidth="1"/>
    <col min="1030" max="1030" width="42.69921875"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30.3984375" style="1" customWidth="1"/>
    <col min="1285" max="1285" width="64.19921875" style="1" customWidth="1"/>
    <col min="1286" max="1286" width="42.69921875"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30.3984375" style="1" customWidth="1"/>
    <col min="1541" max="1541" width="64.19921875" style="1" customWidth="1"/>
    <col min="1542" max="1542" width="42.69921875"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30.3984375" style="1" customWidth="1"/>
    <col min="1797" max="1797" width="64.19921875" style="1" customWidth="1"/>
    <col min="1798" max="1798" width="42.69921875"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30.3984375" style="1" customWidth="1"/>
    <col min="2053" max="2053" width="64.19921875" style="1" customWidth="1"/>
    <col min="2054" max="2054" width="42.69921875"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30.3984375" style="1" customWidth="1"/>
    <col min="2309" max="2309" width="64.19921875" style="1" customWidth="1"/>
    <col min="2310" max="2310" width="42.69921875"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30.3984375" style="1" customWidth="1"/>
    <col min="2565" max="2565" width="64.19921875" style="1" customWidth="1"/>
    <col min="2566" max="2566" width="42.69921875"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30.3984375" style="1" customWidth="1"/>
    <col min="2821" max="2821" width="64.19921875" style="1" customWidth="1"/>
    <col min="2822" max="2822" width="42.69921875"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30.3984375" style="1" customWidth="1"/>
    <col min="3077" max="3077" width="64.19921875" style="1" customWidth="1"/>
    <col min="3078" max="3078" width="42.69921875"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30.3984375" style="1" customWidth="1"/>
    <col min="3333" max="3333" width="64.19921875" style="1" customWidth="1"/>
    <col min="3334" max="3334" width="42.69921875"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30.3984375" style="1" customWidth="1"/>
    <col min="3589" max="3589" width="64.19921875" style="1" customWidth="1"/>
    <col min="3590" max="3590" width="42.69921875"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30.3984375" style="1" customWidth="1"/>
    <col min="3845" max="3845" width="64.19921875" style="1" customWidth="1"/>
    <col min="3846" max="3846" width="42.69921875"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30.3984375" style="1" customWidth="1"/>
    <col min="4101" max="4101" width="64.19921875" style="1" customWidth="1"/>
    <col min="4102" max="4102" width="42.69921875"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30.3984375" style="1" customWidth="1"/>
    <col min="4357" max="4357" width="64.19921875" style="1" customWidth="1"/>
    <col min="4358" max="4358" width="42.69921875"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30.3984375" style="1" customWidth="1"/>
    <col min="4613" max="4613" width="64.19921875" style="1" customWidth="1"/>
    <col min="4614" max="4614" width="42.69921875"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30.3984375" style="1" customWidth="1"/>
    <col min="4869" max="4869" width="64.19921875" style="1" customWidth="1"/>
    <col min="4870" max="4870" width="42.69921875"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30.3984375" style="1" customWidth="1"/>
    <col min="5125" max="5125" width="64.19921875" style="1" customWidth="1"/>
    <col min="5126" max="5126" width="42.69921875"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30.3984375" style="1" customWidth="1"/>
    <col min="5381" max="5381" width="64.19921875" style="1" customWidth="1"/>
    <col min="5382" max="5382" width="42.69921875"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30.3984375" style="1" customWidth="1"/>
    <col min="5637" max="5637" width="64.19921875" style="1" customWidth="1"/>
    <col min="5638" max="5638" width="42.69921875"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30.3984375" style="1" customWidth="1"/>
    <col min="5893" max="5893" width="64.19921875" style="1" customWidth="1"/>
    <col min="5894" max="5894" width="42.69921875"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30.3984375" style="1" customWidth="1"/>
    <col min="6149" max="6149" width="64.19921875" style="1" customWidth="1"/>
    <col min="6150" max="6150" width="42.69921875"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30.3984375" style="1" customWidth="1"/>
    <col min="6405" max="6405" width="64.19921875" style="1" customWidth="1"/>
    <col min="6406" max="6406" width="42.69921875"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30.3984375" style="1" customWidth="1"/>
    <col min="6661" max="6661" width="64.19921875" style="1" customWidth="1"/>
    <col min="6662" max="6662" width="42.69921875"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30.3984375" style="1" customWidth="1"/>
    <col min="6917" max="6917" width="64.19921875" style="1" customWidth="1"/>
    <col min="6918" max="6918" width="42.69921875"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30.3984375" style="1" customWidth="1"/>
    <col min="7173" max="7173" width="64.19921875" style="1" customWidth="1"/>
    <col min="7174" max="7174" width="42.69921875"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30.3984375" style="1" customWidth="1"/>
    <col min="7429" max="7429" width="64.19921875" style="1" customWidth="1"/>
    <col min="7430" max="7430" width="42.69921875"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30.3984375" style="1" customWidth="1"/>
    <col min="7685" max="7685" width="64.19921875" style="1" customWidth="1"/>
    <col min="7686" max="7686" width="42.69921875"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30.3984375" style="1" customWidth="1"/>
    <col min="7941" max="7941" width="64.19921875" style="1" customWidth="1"/>
    <col min="7942" max="7942" width="42.69921875"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30.3984375" style="1" customWidth="1"/>
    <col min="8197" max="8197" width="64.19921875" style="1" customWidth="1"/>
    <col min="8198" max="8198" width="42.69921875"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30.3984375" style="1" customWidth="1"/>
    <col min="8453" max="8453" width="64.19921875" style="1" customWidth="1"/>
    <col min="8454" max="8454" width="42.69921875"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30.3984375" style="1" customWidth="1"/>
    <col min="8709" max="8709" width="64.19921875" style="1" customWidth="1"/>
    <col min="8710" max="8710" width="42.69921875"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30.3984375" style="1" customWidth="1"/>
    <col min="8965" max="8965" width="64.19921875" style="1" customWidth="1"/>
    <col min="8966" max="8966" width="42.69921875"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30.3984375" style="1" customWidth="1"/>
    <col min="9221" max="9221" width="64.19921875" style="1" customWidth="1"/>
    <col min="9222" max="9222" width="42.69921875"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30.3984375" style="1" customWidth="1"/>
    <col min="9477" max="9477" width="64.19921875" style="1" customWidth="1"/>
    <col min="9478" max="9478" width="42.69921875"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30.3984375" style="1" customWidth="1"/>
    <col min="9733" max="9733" width="64.19921875" style="1" customWidth="1"/>
    <col min="9734" max="9734" width="42.69921875"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30.3984375" style="1" customWidth="1"/>
    <col min="9989" max="9989" width="64.19921875" style="1" customWidth="1"/>
    <col min="9990" max="9990" width="42.69921875"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30.3984375" style="1" customWidth="1"/>
    <col min="10245" max="10245" width="64.19921875" style="1" customWidth="1"/>
    <col min="10246" max="10246" width="42.69921875"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30.3984375" style="1" customWidth="1"/>
    <col min="10501" max="10501" width="64.19921875" style="1" customWidth="1"/>
    <col min="10502" max="10502" width="42.69921875"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30.3984375" style="1" customWidth="1"/>
    <col min="10757" max="10757" width="64.19921875" style="1" customWidth="1"/>
    <col min="10758" max="10758" width="42.69921875"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30.3984375" style="1" customWidth="1"/>
    <col min="11013" max="11013" width="64.19921875" style="1" customWidth="1"/>
    <col min="11014" max="11014" width="42.69921875"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30.3984375" style="1" customWidth="1"/>
    <col min="11269" max="11269" width="64.19921875" style="1" customWidth="1"/>
    <col min="11270" max="11270" width="42.69921875"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30.3984375" style="1" customWidth="1"/>
    <col min="11525" max="11525" width="64.19921875" style="1" customWidth="1"/>
    <col min="11526" max="11526" width="42.69921875"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30.3984375" style="1" customWidth="1"/>
    <col min="11781" max="11781" width="64.19921875" style="1" customWidth="1"/>
    <col min="11782" max="11782" width="42.69921875"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30.3984375" style="1" customWidth="1"/>
    <col min="12037" max="12037" width="64.19921875" style="1" customWidth="1"/>
    <col min="12038" max="12038" width="42.69921875"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30.3984375" style="1" customWidth="1"/>
    <col min="12293" max="12293" width="64.19921875" style="1" customWidth="1"/>
    <col min="12294" max="12294" width="42.69921875"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30.3984375" style="1" customWidth="1"/>
    <col min="12549" max="12549" width="64.19921875" style="1" customWidth="1"/>
    <col min="12550" max="12550" width="42.69921875"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30.3984375" style="1" customWidth="1"/>
    <col min="12805" max="12805" width="64.19921875" style="1" customWidth="1"/>
    <col min="12806" max="12806" width="42.69921875"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30.3984375" style="1" customWidth="1"/>
    <col min="13061" max="13061" width="64.19921875" style="1" customWidth="1"/>
    <col min="13062" max="13062" width="42.69921875"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30.3984375" style="1" customWidth="1"/>
    <col min="13317" max="13317" width="64.19921875" style="1" customWidth="1"/>
    <col min="13318" max="13318" width="42.69921875"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30.3984375" style="1" customWidth="1"/>
    <col min="13573" max="13573" width="64.19921875" style="1" customWidth="1"/>
    <col min="13574" max="13574" width="42.69921875"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30.3984375" style="1" customWidth="1"/>
    <col min="13829" max="13829" width="64.19921875" style="1" customWidth="1"/>
    <col min="13830" max="13830" width="42.69921875"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30.3984375" style="1" customWidth="1"/>
    <col min="14085" max="14085" width="64.19921875" style="1" customWidth="1"/>
    <col min="14086" max="14086" width="42.69921875"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30.3984375" style="1" customWidth="1"/>
    <col min="14341" max="14341" width="64.19921875" style="1" customWidth="1"/>
    <col min="14342" max="14342" width="42.69921875"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30.3984375" style="1" customWidth="1"/>
    <col min="14597" max="14597" width="64.19921875" style="1" customWidth="1"/>
    <col min="14598" max="14598" width="42.69921875"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30.3984375" style="1" customWidth="1"/>
    <col min="14853" max="14853" width="64.19921875" style="1" customWidth="1"/>
    <col min="14854" max="14854" width="42.69921875"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30.3984375" style="1" customWidth="1"/>
    <col min="15109" max="15109" width="64.19921875" style="1" customWidth="1"/>
    <col min="15110" max="15110" width="42.69921875"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30.3984375" style="1" customWidth="1"/>
    <col min="15365" max="15365" width="64.19921875" style="1" customWidth="1"/>
    <col min="15366" max="15366" width="42.69921875"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30.3984375" style="1" customWidth="1"/>
    <col min="15621" max="15621" width="64.19921875" style="1" customWidth="1"/>
    <col min="15622" max="15622" width="42.69921875"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30.3984375" style="1" customWidth="1"/>
    <col min="15877" max="15877" width="64.19921875" style="1" customWidth="1"/>
    <col min="15878" max="15878" width="42.69921875"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30.3984375" style="1" customWidth="1"/>
    <col min="16133" max="16133" width="64.19921875" style="1" customWidth="1"/>
    <col min="16134" max="16134" width="42.69921875"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30" customHeight="1" x14ac:dyDescent="0.25">
      <c r="B3" s="5" t="s">
        <v>88</v>
      </c>
      <c r="C3" s="5" t="s">
        <v>59</v>
      </c>
      <c r="D3" s="5" t="s">
        <v>399</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34.55000000000001" customHeight="1" x14ac:dyDescent="0.25">
      <c r="B8" s="7" t="s">
        <v>283</v>
      </c>
      <c r="C8" s="5" t="s">
        <v>284</v>
      </c>
      <c r="D8" s="8" t="s">
        <v>400</v>
      </c>
      <c r="E8" s="5"/>
      <c r="F8" s="5"/>
      <c r="G8" s="7"/>
      <c r="H8" s="7"/>
      <c r="I8" s="11"/>
      <c r="J8" s="7"/>
    </row>
    <row r="9" spans="1:10" ht="50.55" customHeight="1" x14ac:dyDescent="0.25">
      <c r="B9" s="7" t="s">
        <v>24</v>
      </c>
      <c r="C9" s="5" t="s">
        <v>287</v>
      </c>
      <c r="D9" s="8" t="s">
        <v>288</v>
      </c>
      <c r="E9" s="5"/>
      <c r="F9" s="5"/>
      <c r="G9" s="7"/>
      <c r="H9" s="7"/>
      <c r="I9" s="11"/>
      <c r="J9" s="7"/>
    </row>
    <row r="10" spans="1:10" ht="67.5" customHeight="1" x14ac:dyDescent="0.25">
      <c r="B10" s="7" t="s">
        <v>289</v>
      </c>
      <c r="C10" s="7" t="s">
        <v>290</v>
      </c>
      <c r="D10" s="8" t="s">
        <v>401</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sheetData>
  <mergeCells count="3">
    <mergeCell ref="B1:E1"/>
    <mergeCell ref="B6:J6"/>
    <mergeCell ref="B16:D16"/>
  </mergeCells>
  <phoneticPr fontId="29" type="noConversion"/>
  <dataValidations count="2">
    <dataValidation type="list" allowBlank="1" showInputMessage="1" showErrorMessage="1" sqref="E3" xr:uid="{00000000-0002-0000-2000-000000000000}">
      <formula1>"通过,部分通过,不通过"</formula1>
    </dataValidation>
    <dataValidation type="list" allowBlank="1" showInputMessage="1" showErrorMessage="1" sqref="H8:H14 H65526:H65532 H131062:H131068 H196598:H196604 H262134:H262140 H327670:H327676 H393206:H393212 H458742:H458748 H524278:H524284 H589814:H589820 H655350:H655356 H720886:H720892 H786422:H786428 H851958:H851964 H917494:H917500 H983030:H983036 JE8:JE14 JE65526:JE65532 JE131062:JE131068 JE196598:JE196604 JE262134:JE262140 JE327670:JE327676 JE393206:JE393212 JE458742:JE458748 JE524278:JE524284 JE589814:JE589820 JE655350:JE655356 JE720886:JE720892 JE786422:JE786428 JE851958:JE851964 JE917494:JE917500 JE983030:JE983036 TA8:TA14 TA65526:TA65532 TA131062:TA131068 TA196598:TA196604 TA262134:TA262140 TA327670:TA327676 TA393206:TA393212 TA458742:TA458748 TA524278:TA524284 TA589814:TA589820 TA655350:TA655356 TA720886:TA720892 TA786422:TA786428 TA851958:TA851964 TA917494:TA917500 TA983030:TA983036 ACW8:ACW14 ACW65526:ACW65532 ACW131062:ACW131068 ACW196598:ACW196604 ACW262134:ACW262140 ACW327670:ACW327676 ACW393206:ACW393212 ACW458742:ACW458748 ACW524278:ACW524284 ACW589814:ACW589820 ACW655350:ACW655356 ACW720886:ACW720892 ACW786422:ACW786428 ACW851958:ACW851964 ACW917494:ACW917500 ACW983030:ACW983036 AMS8:AMS14 AMS65526:AMS65532 AMS131062:AMS131068 AMS196598:AMS196604 AMS262134:AMS262140 AMS327670:AMS327676 AMS393206:AMS393212 AMS458742:AMS458748 AMS524278:AMS524284 AMS589814:AMS589820 AMS655350:AMS655356 AMS720886:AMS720892 AMS786422:AMS786428 AMS851958:AMS851964 AMS917494:AMS917500 AMS983030:AMS983036 AWO8:AWO14 AWO65526:AWO65532 AWO131062:AWO131068 AWO196598:AWO196604 AWO262134:AWO262140 AWO327670:AWO327676 AWO393206:AWO393212 AWO458742:AWO458748 AWO524278:AWO524284 AWO589814:AWO589820 AWO655350:AWO655356 AWO720886:AWO720892 AWO786422:AWO786428 AWO851958:AWO851964 AWO917494:AWO917500 AWO983030:AWO983036 BGK8:BGK14 BGK65526:BGK65532 BGK131062:BGK131068 BGK196598:BGK196604 BGK262134:BGK262140 BGK327670:BGK327676 BGK393206:BGK393212 BGK458742:BGK458748 BGK524278:BGK524284 BGK589814:BGK589820 BGK655350:BGK655356 BGK720886:BGK720892 BGK786422:BGK786428 BGK851958:BGK851964 BGK917494:BGK917500 BGK983030:BGK983036 BQG8:BQG14 BQG65526:BQG65532 BQG131062:BQG131068 BQG196598:BQG196604 BQG262134:BQG262140 BQG327670:BQG327676 BQG393206:BQG393212 BQG458742:BQG458748 BQG524278:BQG524284 BQG589814:BQG589820 BQG655350:BQG655356 BQG720886:BQG720892 BQG786422:BQG786428 BQG851958:BQG851964 BQG917494:BQG917500 BQG983030:BQG983036 CAC8:CAC14 CAC65526:CAC65532 CAC131062:CAC131068 CAC196598:CAC196604 CAC262134:CAC262140 CAC327670:CAC327676 CAC393206:CAC393212 CAC458742:CAC458748 CAC524278:CAC524284 CAC589814:CAC589820 CAC655350:CAC655356 CAC720886:CAC720892 CAC786422:CAC786428 CAC851958:CAC851964 CAC917494:CAC917500 CAC983030:CAC983036 CJY8:CJY14 CJY65526:CJY65532 CJY131062:CJY131068 CJY196598:CJY196604 CJY262134:CJY262140 CJY327670:CJY327676 CJY393206:CJY393212 CJY458742:CJY458748 CJY524278:CJY524284 CJY589814:CJY589820 CJY655350:CJY655356 CJY720886:CJY720892 CJY786422:CJY786428 CJY851958:CJY851964 CJY917494:CJY917500 CJY983030:CJY983036 CTU8:CTU14 CTU65526:CTU65532 CTU131062:CTU131068 CTU196598:CTU196604 CTU262134:CTU262140 CTU327670:CTU327676 CTU393206:CTU393212 CTU458742:CTU458748 CTU524278:CTU524284 CTU589814:CTU589820 CTU655350:CTU655356 CTU720886:CTU720892 CTU786422:CTU786428 CTU851958:CTU851964 CTU917494:CTU917500 CTU983030:CTU983036 DDQ8:DDQ14 DDQ65526:DDQ65532 DDQ131062:DDQ131068 DDQ196598:DDQ196604 DDQ262134:DDQ262140 DDQ327670:DDQ327676 DDQ393206:DDQ393212 DDQ458742:DDQ458748 DDQ524278:DDQ524284 DDQ589814:DDQ589820 DDQ655350:DDQ655356 DDQ720886:DDQ720892 DDQ786422:DDQ786428 DDQ851958:DDQ851964 DDQ917494:DDQ917500 DDQ983030:DDQ983036 DNM8:DNM14 DNM65526:DNM65532 DNM131062:DNM131068 DNM196598:DNM196604 DNM262134:DNM262140 DNM327670:DNM327676 DNM393206:DNM393212 DNM458742:DNM458748 DNM524278:DNM524284 DNM589814:DNM589820 DNM655350:DNM655356 DNM720886:DNM720892 DNM786422:DNM786428 DNM851958:DNM851964 DNM917494:DNM917500 DNM983030:DNM983036 DXI8:DXI14 DXI65526:DXI65532 DXI131062:DXI131068 DXI196598:DXI196604 DXI262134:DXI262140 DXI327670:DXI327676 DXI393206:DXI393212 DXI458742:DXI458748 DXI524278:DXI524284 DXI589814:DXI589820 DXI655350:DXI655356 DXI720886:DXI720892 DXI786422:DXI786428 DXI851958:DXI851964 DXI917494:DXI917500 DXI983030:DXI983036 EHE8:EHE14 EHE65526:EHE65532 EHE131062:EHE131068 EHE196598:EHE196604 EHE262134:EHE262140 EHE327670:EHE327676 EHE393206:EHE393212 EHE458742:EHE458748 EHE524278:EHE524284 EHE589814:EHE589820 EHE655350:EHE655356 EHE720886:EHE720892 EHE786422:EHE786428 EHE851958:EHE851964 EHE917494:EHE917500 EHE983030:EHE983036 ERA8:ERA14 ERA65526:ERA65532 ERA131062:ERA131068 ERA196598:ERA196604 ERA262134:ERA262140 ERA327670:ERA327676 ERA393206:ERA393212 ERA458742:ERA458748 ERA524278:ERA524284 ERA589814:ERA589820 ERA655350:ERA655356 ERA720886:ERA720892 ERA786422:ERA786428 ERA851958:ERA851964 ERA917494:ERA917500 ERA983030:ERA983036 FAW8:FAW14 FAW65526:FAW65532 FAW131062:FAW131068 FAW196598:FAW196604 FAW262134:FAW262140 FAW327670:FAW327676 FAW393206:FAW393212 FAW458742:FAW458748 FAW524278:FAW524284 FAW589814:FAW589820 FAW655350:FAW655356 FAW720886:FAW720892 FAW786422:FAW786428 FAW851958:FAW851964 FAW917494:FAW917500 FAW983030:FAW983036 FKS8:FKS14 FKS65526:FKS65532 FKS131062:FKS131068 FKS196598:FKS196604 FKS262134:FKS262140 FKS327670:FKS327676 FKS393206:FKS393212 FKS458742:FKS458748 FKS524278:FKS524284 FKS589814:FKS589820 FKS655350:FKS655356 FKS720886:FKS720892 FKS786422:FKS786428 FKS851958:FKS851964 FKS917494:FKS917500 FKS983030:FKS983036 FUO8:FUO14 FUO65526:FUO65532 FUO131062:FUO131068 FUO196598:FUO196604 FUO262134:FUO262140 FUO327670:FUO327676 FUO393206:FUO393212 FUO458742:FUO458748 FUO524278:FUO524284 FUO589814:FUO589820 FUO655350:FUO655356 FUO720886:FUO720892 FUO786422:FUO786428 FUO851958:FUO851964 FUO917494:FUO917500 FUO983030:FUO983036 GEK8:GEK14 GEK65526:GEK65532 GEK131062:GEK131068 GEK196598:GEK196604 GEK262134:GEK262140 GEK327670:GEK327676 GEK393206:GEK393212 GEK458742:GEK458748 GEK524278:GEK524284 GEK589814:GEK589820 GEK655350:GEK655356 GEK720886:GEK720892 GEK786422:GEK786428 GEK851958:GEK851964 GEK917494:GEK917500 GEK983030:GEK983036 GOG8:GOG14 GOG65526:GOG65532 GOG131062:GOG131068 GOG196598:GOG196604 GOG262134:GOG262140 GOG327670:GOG327676 GOG393206:GOG393212 GOG458742:GOG458748 GOG524278:GOG524284 GOG589814:GOG589820 GOG655350:GOG655356 GOG720886:GOG720892 GOG786422:GOG786428 GOG851958:GOG851964 GOG917494:GOG917500 GOG983030:GOG983036 GYC8:GYC14 GYC65526:GYC65532 GYC131062:GYC131068 GYC196598:GYC196604 GYC262134:GYC262140 GYC327670:GYC327676 GYC393206:GYC393212 GYC458742:GYC458748 GYC524278:GYC524284 GYC589814:GYC589820 GYC655350:GYC655356 GYC720886:GYC720892 GYC786422:GYC786428 GYC851958:GYC851964 GYC917494:GYC917500 GYC983030:GYC983036 HHY8:HHY14 HHY65526:HHY65532 HHY131062:HHY131068 HHY196598:HHY196604 HHY262134:HHY262140 HHY327670:HHY327676 HHY393206:HHY393212 HHY458742:HHY458748 HHY524278:HHY524284 HHY589814:HHY589820 HHY655350:HHY655356 HHY720886:HHY720892 HHY786422:HHY786428 HHY851958:HHY851964 HHY917494:HHY917500 HHY983030:HHY983036 HRU8:HRU14 HRU65526:HRU65532 HRU131062:HRU131068 HRU196598:HRU196604 HRU262134:HRU262140 HRU327670:HRU327676 HRU393206:HRU393212 HRU458742:HRU458748 HRU524278:HRU524284 HRU589814:HRU589820 HRU655350:HRU655356 HRU720886:HRU720892 HRU786422:HRU786428 HRU851958:HRU851964 HRU917494:HRU917500 HRU983030:HRU983036 IBQ8:IBQ14 IBQ65526:IBQ65532 IBQ131062:IBQ131068 IBQ196598:IBQ196604 IBQ262134:IBQ262140 IBQ327670:IBQ327676 IBQ393206:IBQ393212 IBQ458742:IBQ458748 IBQ524278:IBQ524284 IBQ589814:IBQ589820 IBQ655350:IBQ655356 IBQ720886:IBQ720892 IBQ786422:IBQ786428 IBQ851958:IBQ851964 IBQ917494:IBQ917500 IBQ983030:IBQ983036 ILM8:ILM14 ILM65526:ILM65532 ILM131062:ILM131068 ILM196598:ILM196604 ILM262134:ILM262140 ILM327670:ILM327676 ILM393206:ILM393212 ILM458742:ILM458748 ILM524278:ILM524284 ILM589814:ILM589820 ILM655350:ILM655356 ILM720886:ILM720892 ILM786422:ILM786428 ILM851958:ILM851964 ILM917494:ILM917500 ILM983030:ILM983036 IVI8:IVI14 IVI65526:IVI65532 IVI131062:IVI131068 IVI196598:IVI196604 IVI262134:IVI262140 IVI327670:IVI327676 IVI393206:IVI393212 IVI458742:IVI458748 IVI524278:IVI524284 IVI589814:IVI589820 IVI655350:IVI655356 IVI720886:IVI720892 IVI786422:IVI786428 IVI851958:IVI851964 IVI917494:IVI917500 IVI983030:IVI983036 JFE8:JFE14 JFE65526:JFE65532 JFE131062:JFE131068 JFE196598:JFE196604 JFE262134:JFE262140 JFE327670:JFE327676 JFE393206:JFE393212 JFE458742:JFE458748 JFE524278:JFE524284 JFE589814:JFE589820 JFE655350:JFE655356 JFE720886:JFE720892 JFE786422:JFE786428 JFE851958:JFE851964 JFE917494:JFE917500 JFE983030:JFE983036 JPA8:JPA14 JPA65526:JPA65532 JPA131062:JPA131068 JPA196598:JPA196604 JPA262134:JPA262140 JPA327670:JPA327676 JPA393206:JPA393212 JPA458742:JPA458748 JPA524278:JPA524284 JPA589814:JPA589820 JPA655350:JPA655356 JPA720886:JPA720892 JPA786422:JPA786428 JPA851958:JPA851964 JPA917494:JPA917500 JPA983030:JPA983036 JYW8:JYW14 JYW65526:JYW65532 JYW131062:JYW131068 JYW196598:JYW196604 JYW262134:JYW262140 JYW327670:JYW327676 JYW393206:JYW393212 JYW458742:JYW458748 JYW524278:JYW524284 JYW589814:JYW589820 JYW655350:JYW655356 JYW720886:JYW720892 JYW786422:JYW786428 JYW851958:JYW851964 JYW917494:JYW917500 JYW983030:JYW983036 KIS8:KIS14 KIS65526:KIS65532 KIS131062:KIS131068 KIS196598:KIS196604 KIS262134:KIS262140 KIS327670:KIS327676 KIS393206:KIS393212 KIS458742:KIS458748 KIS524278:KIS524284 KIS589814:KIS589820 KIS655350:KIS655356 KIS720886:KIS720892 KIS786422:KIS786428 KIS851958:KIS851964 KIS917494:KIS917500 KIS983030:KIS983036 KSO8:KSO14 KSO65526:KSO65532 KSO131062:KSO131068 KSO196598:KSO196604 KSO262134:KSO262140 KSO327670:KSO327676 KSO393206:KSO393212 KSO458742:KSO458748 KSO524278:KSO524284 KSO589814:KSO589820 KSO655350:KSO655356 KSO720886:KSO720892 KSO786422:KSO786428 KSO851958:KSO851964 KSO917494:KSO917500 KSO983030:KSO983036 LCK8:LCK14 LCK65526:LCK65532 LCK131062:LCK131068 LCK196598:LCK196604 LCK262134:LCK262140 LCK327670:LCK327676 LCK393206:LCK393212 LCK458742:LCK458748 LCK524278:LCK524284 LCK589814:LCK589820 LCK655350:LCK655356 LCK720886:LCK720892 LCK786422:LCK786428 LCK851958:LCK851964 LCK917494:LCK917500 LCK983030:LCK983036 LMG8:LMG14 LMG65526:LMG65532 LMG131062:LMG131068 LMG196598:LMG196604 LMG262134:LMG262140 LMG327670:LMG327676 LMG393206:LMG393212 LMG458742:LMG458748 LMG524278:LMG524284 LMG589814:LMG589820 LMG655350:LMG655356 LMG720886:LMG720892 LMG786422:LMG786428 LMG851958:LMG851964 LMG917494:LMG917500 LMG983030:LMG983036 LWC8:LWC14 LWC65526:LWC65532 LWC131062:LWC131068 LWC196598:LWC196604 LWC262134:LWC262140 LWC327670:LWC327676 LWC393206:LWC393212 LWC458742:LWC458748 LWC524278:LWC524284 LWC589814:LWC589820 LWC655350:LWC655356 LWC720886:LWC720892 LWC786422:LWC786428 LWC851958:LWC851964 LWC917494:LWC917500 LWC983030:LWC983036 MFY8:MFY14 MFY65526:MFY65532 MFY131062:MFY131068 MFY196598:MFY196604 MFY262134:MFY262140 MFY327670:MFY327676 MFY393206:MFY393212 MFY458742:MFY458748 MFY524278:MFY524284 MFY589814:MFY589820 MFY655350:MFY655356 MFY720886:MFY720892 MFY786422:MFY786428 MFY851958:MFY851964 MFY917494:MFY917500 MFY983030:MFY983036 MPU8:MPU14 MPU65526:MPU65532 MPU131062:MPU131068 MPU196598:MPU196604 MPU262134:MPU262140 MPU327670:MPU327676 MPU393206:MPU393212 MPU458742:MPU458748 MPU524278:MPU524284 MPU589814:MPU589820 MPU655350:MPU655356 MPU720886:MPU720892 MPU786422:MPU786428 MPU851958:MPU851964 MPU917494:MPU917500 MPU983030:MPU983036 MZQ8:MZQ14 MZQ65526:MZQ65532 MZQ131062:MZQ131068 MZQ196598:MZQ196604 MZQ262134:MZQ262140 MZQ327670:MZQ327676 MZQ393206:MZQ393212 MZQ458742:MZQ458748 MZQ524278:MZQ524284 MZQ589814:MZQ589820 MZQ655350:MZQ655356 MZQ720886:MZQ720892 MZQ786422:MZQ786428 MZQ851958:MZQ851964 MZQ917494:MZQ917500 MZQ983030:MZQ983036 NJM8:NJM14 NJM65526:NJM65532 NJM131062:NJM131068 NJM196598:NJM196604 NJM262134:NJM262140 NJM327670:NJM327676 NJM393206:NJM393212 NJM458742:NJM458748 NJM524278:NJM524284 NJM589814:NJM589820 NJM655350:NJM655356 NJM720886:NJM720892 NJM786422:NJM786428 NJM851958:NJM851964 NJM917494:NJM917500 NJM983030:NJM983036 NTI8:NTI14 NTI65526:NTI65532 NTI131062:NTI131068 NTI196598:NTI196604 NTI262134:NTI262140 NTI327670:NTI327676 NTI393206:NTI393212 NTI458742:NTI458748 NTI524278:NTI524284 NTI589814:NTI589820 NTI655350:NTI655356 NTI720886:NTI720892 NTI786422:NTI786428 NTI851958:NTI851964 NTI917494:NTI917500 NTI983030:NTI983036 ODE8:ODE14 ODE65526:ODE65532 ODE131062:ODE131068 ODE196598:ODE196604 ODE262134:ODE262140 ODE327670:ODE327676 ODE393206:ODE393212 ODE458742:ODE458748 ODE524278:ODE524284 ODE589814:ODE589820 ODE655350:ODE655356 ODE720886:ODE720892 ODE786422:ODE786428 ODE851958:ODE851964 ODE917494:ODE917500 ODE983030:ODE983036 ONA8:ONA14 ONA65526:ONA65532 ONA131062:ONA131068 ONA196598:ONA196604 ONA262134:ONA262140 ONA327670:ONA327676 ONA393206:ONA393212 ONA458742:ONA458748 ONA524278:ONA524284 ONA589814:ONA589820 ONA655350:ONA655356 ONA720886:ONA720892 ONA786422:ONA786428 ONA851958:ONA851964 ONA917494:ONA917500 ONA983030:ONA983036 OWW8:OWW14 OWW65526:OWW65532 OWW131062:OWW131068 OWW196598:OWW196604 OWW262134:OWW262140 OWW327670:OWW327676 OWW393206:OWW393212 OWW458742:OWW458748 OWW524278:OWW524284 OWW589814:OWW589820 OWW655350:OWW655356 OWW720886:OWW720892 OWW786422:OWW786428 OWW851958:OWW851964 OWW917494:OWW917500 OWW983030:OWW983036 PGS8:PGS14 PGS65526:PGS65532 PGS131062:PGS131068 PGS196598:PGS196604 PGS262134:PGS262140 PGS327670:PGS327676 PGS393206:PGS393212 PGS458742:PGS458748 PGS524278:PGS524284 PGS589814:PGS589820 PGS655350:PGS655356 PGS720886:PGS720892 PGS786422:PGS786428 PGS851958:PGS851964 PGS917494:PGS917500 PGS983030:PGS983036 PQO8:PQO14 PQO65526:PQO65532 PQO131062:PQO131068 PQO196598:PQO196604 PQO262134:PQO262140 PQO327670:PQO327676 PQO393206:PQO393212 PQO458742:PQO458748 PQO524278:PQO524284 PQO589814:PQO589820 PQO655350:PQO655356 PQO720886:PQO720892 PQO786422:PQO786428 PQO851958:PQO851964 PQO917494:PQO917500 PQO983030:PQO983036 QAK8:QAK14 QAK65526:QAK65532 QAK131062:QAK131068 QAK196598:QAK196604 QAK262134:QAK262140 QAK327670:QAK327676 QAK393206:QAK393212 QAK458742:QAK458748 QAK524278:QAK524284 QAK589814:QAK589820 QAK655350:QAK655356 QAK720886:QAK720892 QAK786422:QAK786428 QAK851958:QAK851964 QAK917494:QAK917500 QAK983030:QAK983036 QKG8:QKG14 QKG65526:QKG65532 QKG131062:QKG131068 QKG196598:QKG196604 QKG262134:QKG262140 QKG327670:QKG327676 QKG393206:QKG393212 QKG458742:QKG458748 QKG524278:QKG524284 QKG589814:QKG589820 QKG655350:QKG655356 QKG720886:QKG720892 QKG786422:QKG786428 QKG851958:QKG851964 QKG917494:QKG917500 QKG983030:QKG983036 QUC8:QUC14 QUC65526:QUC65532 QUC131062:QUC131068 QUC196598:QUC196604 QUC262134:QUC262140 QUC327670:QUC327676 QUC393206:QUC393212 QUC458742:QUC458748 QUC524278:QUC524284 QUC589814:QUC589820 QUC655350:QUC655356 QUC720886:QUC720892 QUC786422:QUC786428 QUC851958:QUC851964 QUC917494:QUC917500 QUC983030:QUC983036 RDY8:RDY14 RDY65526:RDY65532 RDY131062:RDY131068 RDY196598:RDY196604 RDY262134:RDY262140 RDY327670:RDY327676 RDY393206:RDY393212 RDY458742:RDY458748 RDY524278:RDY524284 RDY589814:RDY589820 RDY655350:RDY655356 RDY720886:RDY720892 RDY786422:RDY786428 RDY851958:RDY851964 RDY917494:RDY917500 RDY983030:RDY983036 RNU8:RNU14 RNU65526:RNU65532 RNU131062:RNU131068 RNU196598:RNU196604 RNU262134:RNU262140 RNU327670:RNU327676 RNU393206:RNU393212 RNU458742:RNU458748 RNU524278:RNU524284 RNU589814:RNU589820 RNU655350:RNU655356 RNU720886:RNU720892 RNU786422:RNU786428 RNU851958:RNU851964 RNU917494:RNU917500 RNU983030:RNU983036 RXQ8:RXQ14 RXQ65526:RXQ65532 RXQ131062:RXQ131068 RXQ196598:RXQ196604 RXQ262134:RXQ262140 RXQ327670:RXQ327676 RXQ393206:RXQ393212 RXQ458742:RXQ458748 RXQ524278:RXQ524284 RXQ589814:RXQ589820 RXQ655350:RXQ655356 RXQ720886:RXQ720892 RXQ786422:RXQ786428 RXQ851958:RXQ851964 RXQ917494:RXQ917500 RXQ983030:RXQ983036 SHM8:SHM14 SHM65526:SHM65532 SHM131062:SHM131068 SHM196598:SHM196604 SHM262134:SHM262140 SHM327670:SHM327676 SHM393206:SHM393212 SHM458742:SHM458748 SHM524278:SHM524284 SHM589814:SHM589820 SHM655350:SHM655356 SHM720886:SHM720892 SHM786422:SHM786428 SHM851958:SHM851964 SHM917494:SHM917500 SHM983030:SHM983036 SRI8:SRI14 SRI65526:SRI65532 SRI131062:SRI131068 SRI196598:SRI196604 SRI262134:SRI262140 SRI327670:SRI327676 SRI393206:SRI393212 SRI458742:SRI458748 SRI524278:SRI524284 SRI589814:SRI589820 SRI655350:SRI655356 SRI720886:SRI720892 SRI786422:SRI786428 SRI851958:SRI851964 SRI917494:SRI917500 SRI983030:SRI983036 TBE8:TBE14 TBE65526:TBE65532 TBE131062:TBE131068 TBE196598:TBE196604 TBE262134:TBE262140 TBE327670:TBE327676 TBE393206:TBE393212 TBE458742:TBE458748 TBE524278:TBE524284 TBE589814:TBE589820 TBE655350:TBE655356 TBE720886:TBE720892 TBE786422:TBE786428 TBE851958:TBE851964 TBE917494:TBE917500 TBE983030:TBE983036 TLA8:TLA14 TLA65526:TLA65532 TLA131062:TLA131068 TLA196598:TLA196604 TLA262134:TLA262140 TLA327670:TLA327676 TLA393206:TLA393212 TLA458742:TLA458748 TLA524278:TLA524284 TLA589814:TLA589820 TLA655350:TLA655356 TLA720886:TLA720892 TLA786422:TLA786428 TLA851958:TLA851964 TLA917494:TLA917500 TLA983030:TLA983036 TUW8:TUW14 TUW65526:TUW65532 TUW131062:TUW131068 TUW196598:TUW196604 TUW262134:TUW262140 TUW327670:TUW327676 TUW393206:TUW393212 TUW458742:TUW458748 TUW524278:TUW524284 TUW589814:TUW589820 TUW655350:TUW655356 TUW720886:TUW720892 TUW786422:TUW786428 TUW851958:TUW851964 TUW917494:TUW917500 TUW983030:TUW983036 UES8:UES14 UES65526:UES65532 UES131062:UES131068 UES196598:UES196604 UES262134:UES262140 UES327670:UES327676 UES393206:UES393212 UES458742:UES458748 UES524278:UES524284 UES589814:UES589820 UES655350:UES655356 UES720886:UES720892 UES786422:UES786428 UES851958:UES851964 UES917494:UES917500 UES983030:UES983036 UOO8:UOO14 UOO65526:UOO65532 UOO131062:UOO131068 UOO196598:UOO196604 UOO262134:UOO262140 UOO327670:UOO327676 UOO393206:UOO393212 UOO458742:UOO458748 UOO524278:UOO524284 UOO589814:UOO589820 UOO655350:UOO655356 UOO720886:UOO720892 UOO786422:UOO786428 UOO851958:UOO851964 UOO917494:UOO917500 UOO983030:UOO983036 UYK8:UYK14 UYK65526:UYK65532 UYK131062:UYK131068 UYK196598:UYK196604 UYK262134:UYK262140 UYK327670:UYK327676 UYK393206:UYK393212 UYK458742:UYK458748 UYK524278:UYK524284 UYK589814:UYK589820 UYK655350:UYK655356 UYK720886:UYK720892 UYK786422:UYK786428 UYK851958:UYK851964 UYK917494:UYK917500 UYK983030:UYK983036 VIG8:VIG14 VIG65526:VIG65532 VIG131062:VIG131068 VIG196598:VIG196604 VIG262134:VIG262140 VIG327670:VIG327676 VIG393206:VIG393212 VIG458742:VIG458748 VIG524278:VIG524284 VIG589814:VIG589820 VIG655350:VIG655356 VIG720886:VIG720892 VIG786422:VIG786428 VIG851958:VIG851964 VIG917494:VIG917500 VIG983030:VIG983036 VSC8:VSC14 VSC65526:VSC65532 VSC131062:VSC131068 VSC196598:VSC196604 VSC262134:VSC262140 VSC327670:VSC327676 VSC393206:VSC393212 VSC458742:VSC458748 VSC524278:VSC524284 VSC589814:VSC589820 VSC655350:VSC655356 VSC720886:VSC720892 VSC786422:VSC786428 VSC851958:VSC851964 VSC917494:VSC917500 VSC983030:VSC983036 WBY8:WBY14 WBY65526:WBY65532 WBY131062:WBY131068 WBY196598:WBY196604 WBY262134:WBY262140 WBY327670:WBY327676 WBY393206:WBY393212 WBY458742:WBY458748 WBY524278:WBY524284 WBY589814:WBY589820 WBY655350:WBY655356 WBY720886:WBY720892 WBY786422:WBY786428 WBY851958:WBY851964 WBY917494:WBY917500 WBY983030:WBY983036 WLU8:WLU14 WLU65526:WLU65532 WLU131062:WLU131068 WLU196598:WLU196604 WLU262134:WLU262140 WLU327670:WLU327676 WLU393206:WLU393212 WLU458742:WLU458748 WLU524278:WLU524284 WLU589814:WLU589820 WLU655350:WLU655356 WLU720886:WLU720892 WLU786422:WLU786428 WLU851958:WLU851964 WLU917494:WLU917500 WLU983030:WLU983036 WVQ8:WVQ14 WVQ65526:WVQ65532 WVQ131062:WVQ131068 WVQ196598:WVQ196604 WVQ262134:WVQ262140 WVQ327670:WVQ327676 WVQ393206:WVQ393212 WVQ458742:WVQ458748 WVQ524278:WVQ524284 WVQ589814:WVQ589820 WVQ655350:WVQ655356 WVQ720886:WVQ720892 WVQ786422:WVQ786428 WVQ851958:WVQ851964 WVQ917494:WVQ917500 WVQ983030:WVQ983036" xr:uid="{00000000-0002-0000-2000-000001000000}">
      <formula1>"正确,错误"</formula1>
    </dataValidation>
  </dataValidations>
  <hyperlinks>
    <hyperlink ref="A1" location="UAT测试案例清单!A1" display="返回" xr:uid="{00000000-0004-0000-20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J26"/>
  <sheetViews>
    <sheetView workbookViewId="0">
      <selection activeCell="B24" sqref="B24"/>
    </sheetView>
  </sheetViews>
  <sheetFormatPr defaultColWidth="9" defaultRowHeight="12" x14ac:dyDescent="0.25"/>
  <cols>
    <col min="1" max="1" width="6.59765625" style="1" customWidth="1"/>
    <col min="2" max="2" width="19.69921875" style="1" customWidth="1"/>
    <col min="3" max="3" width="25.69921875" style="1" customWidth="1"/>
    <col min="4" max="4" width="51.69921875" style="1" customWidth="1"/>
    <col min="5" max="5" width="20.09765625" style="1" customWidth="1"/>
    <col min="6" max="6" width="13.796875" style="1" customWidth="1"/>
    <col min="7" max="7" width="14.898437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51.69921875" style="1" customWidth="1"/>
    <col min="262" max="262" width="20.09765625" style="1" customWidth="1"/>
    <col min="263" max="263" width="13.796875" style="1" customWidth="1"/>
    <col min="264" max="264" width="14.898437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51.69921875" style="1" customWidth="1"/>
    <col min="518" max="518" width="20.09765625" style="1" customWidth="1"/>
    <col min="519" max="519" width="13.796875" style="1" customWidth="1"/>
    <col min="520" max="520" width="14.898437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51.69921875" style="1" customWidth="1"/>
    <col min="774" max="774" width="20.09765625" style="1" customWidth="1"/>
    <col min="775" max="775" width="13.796875" style="1" customWidth="1"/>
    <col min="776" max="776" width="14.898437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51.69921875" style="1" customWidth="1"/>
    <col min="1030" max="1030" width="20.09765625" style="1" customWidth="1"/>
    <col min="1031" max="1031" width="13.796875" style="1" customWidth="1"/>
    <col min="1032" max="1032" width="14.898437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51.69921875" style="1" customWidth="1"/>
    <col min="1286" max="1286" width="20.09765625" style="1" customWidth="1"/>
    <col min="1287" max="1287" width="13.796875" style="1" customWidth="1"/>
    <col min="1288" max="1288" width="14.898437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51.69921875" style="1" customWidth="1"/>
    <col min="1542" max="1542" width="20.09765625" style="1" customWidth="1"/>
    <col min="1543" max="1543" width="13.796875" style="1" customWidth="1"/>
    <col min="1544" max="1544" width="14.898437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51.69921875" style="1" customWidth="1"/>
    <col min="1798" max="1798" width="20.09765625" style="1" customWidth="1"/>
    <col min="1799" max="1799" width="13.796875" style="1" customWidth="1"/>
    <col min="1800" max="1800" width="14.898437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51.69921875" style="1" customWidth="1"/>
    <col min="2054" max="2054" width="20.09765625" style="1" customWidth="1"/>
    <col min="2055" max="2055" width="13.796875" style="1" customWidth="1"/>
    <col min="2056" max="2056" width="14.898437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51.69921875" style="1" customWidth="1"/>
    <col min="2310" max="2310" width="20.09765625" style="1" customWidth="1"/>
    <col min="2311" max="2311" width="13.796875" style="1" customWidth="1"/>
    <col min="2312" max="2312" width="14.898437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51.69921875" style="1" customWidth="1"/>
    <col min="2566" max="2566" width="20.09765625" style="1" customWidth="1"/>
    <col min="2567" max="2567" width="13.796875" style="1" customWidth="1"/>
    <col min="2568" max="2568" width="14.898437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51.69921875" style="1" customWidth="1"/>
    <col min="2822" max="2822" width="20.09765625" style="1" customWidth="1"/>
    <col min="2823" max="2823" width="13.796875" style="1" customWidth="1"/>
    <col min="2824" max="2824" width="14.898437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51.69921875" style="1" customWidth="1"/>
    <col min="3078" max="3078" width="20.09765625" style="1" customWidth="1"/>
    <col min="3079" max="3079" width="13.796875" style="1" customWidth="1"/>
    <col min="3080" max="3080" width="14.898437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51.69921875" style="1" customWidth="1"/>
    <col min="3334" max="3334" width="20.09765625" style="1" customWidth="1"/>
    <col min="3335" max="3335" width="13.796875" style="1" customWidth="1"/>
    <col min="3336" max="3336" width="14.898437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51.69921875" style="1" customWidth="1"/>
    <col min="3590" max="3590" width="20.09765625" style="1" customWidth="1"/>
    <col min="3591" max="3591" width="13.796875" style="1" customWidth="1"/>
    <col min="3592" max="3592" width="14.898437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51.69921875" style="1" customWidth="1"/>
    <col min="3846" max="3846" width="20.09765625" style="1" customWidth="1"/>
    <col min="3847" max="3847" width="13.796875" style="1" customWidth="1"/>
    <col min="3848" max="3848" width="14.898437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51.69921875" style="1" customWidth="1"/>
    <col min="4102" max="4102" width="20.09765625" style="1" customWidth="1"/>
    <col min="4103" max="4103" width="13.796875" style="1" customWidth="1"/>
    <col min="4104" max="4104" width="14.898437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51.69921875" style="1" customWidth="1"/>
    <col min="4358" max="4358" width="20.09765625" style="1" customWidth="1"/>
    <col min="4359" max="4359" width="13.796875" style="1" customWidth="1"/>
    <col min="4360" max="4360" width="14.898437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51.69921875" style="1" customWidth="1"/>
    <col min="4614" max="4614" width="20.09765625" style="1" customWidth="1"/>
    <col min="4615" max="4615" width="13.796875" style="1" customWidth="1"/>
    <col min="4616" max="4616" width="14.898437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51.69921875" style="1" customWidth="1"/>
    <col min="4870" max="4870" width="20.09765625" style="1" customWidth="1"/>
    <col min="4871" max="4871" width="13.796875" style="1" customWidth="1"/>
    <col min="4872" max="4872" width="14.898437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51.69921875" style="1" customWidth="1"/>
    <col min="5126" max="5126" width="20.09765625" style="1" customWidth="1"/>
    <col min="5127" max="5127" width="13.796875" style="1" customWidth="1"/>
    <col min="5128" max="5128" width="14.898437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51.69921875" style="1" customWidth="1"/>
    <col min="5382" max="5382" width="20.09765625" style="1" customWidth="1"/>
    <col min="5383" max="5383" width="13.796875" style="1" customWidth="1"/>
    <col min="5384" max="5384" width="14.898437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51.69921875" style="1" customWidth="1"/>
    <col min="5638" max="5638" width="20.09765625" style="1" customWidth="1"/>
    <col min="5639" max="5639" width="13.796875" style="1" customWidth="1"/>
    <col min="5640" max="5640" width="14.898437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51.69921875" style="1" customWidth="1"/>
    <col min="5894" max="5894" width="20.09765625" style="1" customWidth="1"/>
    <col min="5895" max="5895" width="13.796875" style="1" customWidth="1"/>
    <col min="5896" max="5896" width="14.898437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51.69921875" style="1" customWidth="1"/>
    <col min="6150" max="6150" width="20.09765625" style="1" customWidth="1"/>
    <col min="6151" max="6151" width="13.796875" style="1" customWidth="1"/>
    <col min="6152" max="6152" width="14.898437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51.69921875" style="1" customWidth="1"/>
    <col min="6406" max="6406" width="20.09765625" style="1" customWidth="1"/>
    <col min="6407" max="6407" width="13.796875" style="1" customWidth="1"/>
    <col min="6408" max="6408" width="14.898437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51.69921875" style="1" customWidth="1"/>
    <col min="6662" max="6662" width="20.09765625" style="1" customWidth="1"/>
    <col min="6663" max="6663" width="13.796875" style="1" customWidth="1"/>
    <col min="6664" max="6664" width="14.898437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51.69921875" style="1" customWidth="1"/>
    <col min="6918" max="6918" width="20.09765625" style="1" customWidth="1"/>
    <col min="6919" max="6919" width="13.796875" style="1" customWidth="1"/>
    <col min="6920" max="6920" width="14.898437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51.69921875" style="1" customWidth="1"/>
    <col min="7174" max="7174" width="20.09765625" style="1" customWidth="1"/>
    <col min="7175" max="7175" width="13.796875" style="1" customWidth="1"/>
    <col min="7176" max="7176" width="14.898437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51.69921875" style="1" customWidth="1"/>
    <col min="7430" max="7430" width="20.09765625" style="1" customWidth="1"/>
    <col min="7431" max="7431" width="13.796875" style="1" customWidth="1"/>
    <col min="7432" max="7432" width="14.898437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51.69921875" style="1" customWidth="1"/>
    <col min="7686" max="7686" width="20.09765625" style="1" customWidth="1"/>
    <col min="7687" max="7687" width="13.796875" style="1" customWidth="1"/>
    <col min="7688" max="7688" width="14.898437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51.69921875" style="1" customWidth="1"/>
    <col min="7942" max="7942" width="20.09765625" style="1" customWidth="1"/>
    <col min="7943" max="7943" width="13.796875" style="1" customWidth="1"/>
    <col min="7944" max="7944" width="14.898437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51.69921875" style="1" customWidth="1"/>
    <col min="8198" max="8198" width="20.09765625" style="1" customWidth="1"/>
    <col min="8199" max="8199" width="13.796875" style="1" customWidth="1"/>
    <col min="8200" max="8200" width="14.898437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51.69921875" style="1" customWidth="1"/>
    <col min="8454" max="8454" width="20.09765625" style="1" customWidth="1"/>
    <col min="8455" max="8455" width="13.796875" style="1" customWidth="1"/>
    <col min="8456" max="8456" width="14.898437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51.69921875" style="1" customWidth="1"/>
    <col min="8710" max="8710" width="20.09765625" style="1" customWidth="1"/>
    <col min="8711" max="8711" width="13.796875" style="1" customWidth="1"/>
    <col min="8712" max="8712" width="14.898437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51.69921875" style="1" customWidth="1"/>
    <col min="8966" max="8966" width="20.09765625" style="1" customWidth="1"/>
    <col min="8967" max="8967" width="13.796875" style="1" customWidth="1"/>
    <col min="8968" max="8968" width="14.898437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51.69921875" style="1" customWidth="1"/>
    <col min="9222" max="9222" width="20.09765625" style="1" customWidth="1"/>
    <col min="9223" max="9223" width="13.796875" style="1" customWidth="1"/>
    <col min="9224" max="9224" width="14.898437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51.69921875" style="1" customWidth="1"/>
    <col min="9478" max="9478" width="20.09765625" style="1" customWidth="1"/>
    <col min="9479" max="9479" width="13.796875" style="1" customWidth="1"/>
    <col min="9480" max="9480" width="14.898437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51.69921875" style="1" customWidth="1"/>
    <col min="9734" max="9734" width="20.09765625" style="1" customWidth="1"/>
    <col min="9735" max="9735" width="13.796875" style="1" customWidth="1"/>
    <col min="9736" max="9736" width="14.898437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51.69921875" style="1" customWidth="1"/>
    <col min="9990" max="9990" width="20.09765625" style="1" customWidth="1"/>
    <col min="9991" max="9991" width="13.796875" style="1" customWidth="1"/>
    <col min="9992" max="9992" width="14.898437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51.69921875" style="1" customWidth="1"/>
    <col min="10246" max="10246" width="20.09765625" style="1" customWidth="1"/>
    <col min="10247" max="10247" width="13.796875" style="1" customWidth="1"/>
    <col min="10248" max="10248" width="14.898437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51.69921875" style="1" customWidth="1"/>
    <col min="10502" max="10502" width="20.09765625" style="1" customWidth="1"/>
    <col min="10503" max="10503" width="13.796875" style="1" customWidth="1"/>
    <col min="10504" max="10504" width="14.898437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51.69921875" style="1" customWidth="1"/>
    <col min="10758" max="10758" width="20.09765625" style="1" customWidth="1"/>
    <col min="10759" max="10759" width="13.796875" style="1" customWidth="1"/>
    <col min="10760" max="10760" width="14.898437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51.69921875" style="1" customWidth="1"/>
    <col min="11014" max="11014" width="20.09765625" style="1" customWidth="1"/>
    <col min="11015" max="11015" width="13.796875" style="1" customWidth="1"/>
    <col min="11016" max="11016" width="14.898437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51.69921875" style="1" customWidth="1"/>
    <col min="11270" max="11270" width="20.09765625" style="1" customWidth="1"/>
    <col min="11271" max="11271" width="13.796875" style="1" customWidth="1"/>
    <col min="11272" max="11272" width="14.898437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51.69921875" style="1" customWidth="1"/>
    <col min="11526" max="11526" width="20.09765625" style="1" customWidth="1"/>
    <col min="11527" max="11527" width="13.796875" style="1" customWidth="1"/>
    <col min="11528" max="11528" width="14.898437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51.69921875" style="1" customWidth="1"/>
    <col min="11782" max="11782" width="20.09765625" style="1" customWidth="1"/>
    <col min="11783" max="11783" width="13.796875" style="1" customWidth="1"/>
    <col min="11784" max="11784" width="14.898437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51.69921875" style="1" customWidth="1"/>
    <col min="12038" max="12038" width="20.09765625" style="1" customWidth="1"/>
    <col min="12039" max="12039" width="13.796875" style="1" customWidth="1"/>
    <col min="12040" max="12040" width="14.898437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51.69921875" style="1" customWidth="1"/>
    <col min="12294" max="12294" width="20.09765625" style="1" customWidth="1"/>
    <col min="12295" max="12295" width="13.796875" style="1" customWidth="1"/>
    <col min="12296" max="12296" width="14.898437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51.69921875" style="1" customWidth="1"/>
    <col min="12550" max="12550" width="20.09765625" style="1" customWidth="1"/>
    <col min="12551" max="12551" width="13.796875" style="1" customWidth="1"/>
    <col min="12552" max="12552" width="14.898437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51.69921875" style="1" customWidth="1"/>
    <col min="12806" max="12806" width="20.09765625" style="1" customWidth="1"/>
    <col min="12807" max="12807" width="13.796875" style="1" customWidth="1"/>
    <col min="12808" max="12808" width="14.898437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51.69921875" style="1" customWidth="1"/>
    <col min="13062" max="13062" width="20.09765625" style="1" customWidth="1"/>
    <col min="13063" max="13063" width="13.796875" style="1" customWidth="1"/>
    <col min="13064" max="13064" width="14.898437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51.69921875" style="1" customWidth="1"/>
    <col min="13318" max="13318" width="20.09765625" style="1" customWidth="1"/>
    <col min="13319" max="13319" width="13.796875" style="1" customWidth="1"/>
    <col min="13320" max="13320" width="14.898437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51.69921875" style="1" customWidth="1"/>
    <col min="13574" max="13574" width="20.09765625" style="1" customWidth="1"/>
    <col min="13575" max="13575" width="13.796875" style="1" customWidth="1"/>
    <col min="13576" max="13576" width="14.898437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51.69921875" style="1" customWidth="1"/>
    <col min="13830" max="13830" width="20.09765625" style="1" customWidth="1"/>
    <col min="13831" max="13831" width="13.796875" style="1" customWidth="1"/>
    <col min="13832" max="13832" width="14.898437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51.69921875" style="1" customWidth="1"/>
    <col min="14086" max="14086" width="20.09765625" style="1" customWidth="1"/>
    <col min="14087" max="14087" width="13.796875" style="1" customWidth="1"/>
    <col min="14088" max="14088" width="14.898437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51.69921875" style="1" customWidth="1"/>
    <col min="14342" max="14342" width="20.09765625" style="1" customWidth="1"/>
    <col min="14343" max="14343" width="13.796875" style="1" customWidth="1"/>
    <col min="14344" max="14344" width="14.898437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51.69921875" style="1" customWidth="1"/>
    <col min="14598" max="14598" width="20.09765625" style="1" customWidth="1"/>
    <col min="14599" max="14599" width="13.796875" style="1" customWidth="1"/>
    <col min="14600" max="14600" width="14.898437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51.69921875" style="1" customWidth="1"/>
    <col min="14854" max="14854" width="20.09765625" style="1" customWidth="1"/>
    <col min="14855" max="14855" width="13.796875" style="1" customWidth="1"/>
    <col min="14856" max="14856" width="14.898437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51.69921875" style="1" customWidth="1"/>
    <col min="15110" max="15110" width="20.09765625" style="1" customWidth="1"/>
    <col min="15111" max="15111" width="13.796875" style="1" customWidth="1"/>
    <col min="15112" max="15112" width="14.898437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51.69921875" style="1" customWidth="1"/>
    <col min="15366" max="15366" width="20.09765625" style="1" customWidth="1"/>
    <col min="15367" max="15367" width="13.796875" style="1" customWidth="1"/>
    <col min="15368" max="15368" width="14.898437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51.69921875" style="1" customWidth="1"/>
    <col min="15622" max="15622" width="20.09765625" style="1" customWidth="1"/>
    <col min="15623" max="15623" width="13.796875" style="1" customWidth="1"/>
    <col min="15624" max="15624" width="14.898437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51.69921875" style="1" customWidth="1"/>
    <col min="15878" max="15878" width="20.09765625" style="1" customWidth="1"/>
    <col min="15879" max="15879" width="13.796875" style="1" customWidth="1"/>
    <col min="15880" max="15880" width="14.898437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51.69921875" style="1" customWidth="1"/>
    <col min="16134" max="16134" width="20.09765625" style="1" customWidth="1"/>
    <col min="16135" max="16135" width="13.796875" style="1" customWidth="1"/>
    <col min="16136" max="16136" width="14.898437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40.5" customHeight="1" x14ac:dyDescent="0.25">
      <c r="B3" s="5" t="s">
        <v>88</v>
      </c>
      <c r="C3" s="5" t="s">
        <v>61</v>
      </c>
      <c r="D3" s="5" t="s">
        <v>62</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67.05" customHeight="1" x14ac:dyDescent="0.25">
      <c r="B8" s="7" t="s">
        <v>402</v>
      </c>
      <c r="C8" s="15" t="s">
        <v>403</v>
      </c>
      <c r="D8" s="14" t="s">
        <v>404</v>
      </c>
      <c r="E8" s="5"/>
      <c r="F8" s="5"/>
      <c r="G8" s="7"/>
      <c r="H8" s="7"/>
      <c r="I8" s="11"/>
      <c r="J8" s="7"/>
    </row>
    <row r="9" spans="1:10" ht="48" customHeight="1" x14ac:dyDescent="0.25">
      <c r="B9" s="7" t="s">
        <v>24</v>
      </c>
      <c r="C9" s="5" t="s">
        <v>287</v>
      </c>
      <c r="D9" s="8" t="s">
        <v>288</v>
      </c>
      <c r="E9" s="5"/>
      <c r="F9" s="5"/>
      <c r="G9" s="7"/>
      <c r="H9" s="7"/>
      <c r="I9" s="11"/>
      <c r="J9" s="7"/>
    </row>
    <row r="10" spans="1:10" ht="53.55" customHeight="1" x14ac:dyDescent="0.25">
      <c r="B10" s="7" t="s">
        <v>289</v>
      </c>
      <c r="C10" s="7" t="s">
        <v>290</v>
      </c>
      <c r="D10" s="8" t="s">
        <v>405</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row r="22" spans="2:4" x14ac:dyDescent="0.25">
      <c r="B22" s="4" t="s">
        <v>406</v>
      </c>
    </row>
    <row r="23" spans="2:4" ht="47.55" customHeight="1" x14ac:dyDescent="0.25">
      <c r="B23" s="104" t="s">
        <v>407</v>
      </c>
      <c r="C23" s="104"/>
      <c r="D23" s="104"/>
    </row>
    <row r="24" spans="2:4" x14ac:dyDescent="0.25">
      <c r="B24" s="4" t="s">
        <v>408</v>
      </c>
    </row>
    <row r="26" spans="2:4" x14ac:dyDescent="0.25">
      <c r="B26" s="1" t="s">
        <v>409</v>
      </c>
    </row>
  </sheetData>
  <mergeCells count="4">
    <mergeCell ref="B1:E1"/>
    <mergeCell ref="B6:J6"/>
    <mergeCell ref="B16:D16"/>
    <mergeCell ref="B23:D23"/>
  </mergeCells>
  <phoneticPr fontId="29" type="noConversion"/>
  <dataValidations count="2">
    <dataValidation type="list" allowBlank="1" showInputMessage="1" showErrorMessage="1" sqref="E3" xr:uid="{00000000-0002-0000-21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2100-000001000000}">
      <formula1>"正确,错误"</formula1>
    </dataValidation>
  </dataValidations>
  <hyperlinks>
    <hyperlink ref="A1" location="UAT测试案例清单!A1" display="返回" xr:uid="{00000000-0004-0000-21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J18"/>
  <sheetViews>
    <sheetView zoomScale="90" zoomScaleNormal="90" workbookViewId="0">
      <selection activeCell="B17" sqref="B17:D17"/>
    </sheetView>
  </sheetViews>
  <sheetFormatPr defaultColWidth="9" defaultRowHeight="12" x14ac:dyDescent="0.25"/>
  <cols>
    <col min="1" max="1" width="6.59765625" style="1" customWidth="1"/>
    <col min="2" max="2" width="19.69921875" style="1" customWidth="1"/>
    <col min="3" max="3" width="25.69921875" style="1" customWidth="1"/>
    <col min="4" max="4" width="55.19921875" style="1" customWidth="1"/>
    <col min="5" max="5" width="20.09765625" style="1" customWidth="1"/>
    <col min="6" max="6" width="13.796875" style="1" customWidth="1"/>
    <col min="7" max="7" width="14.898437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55.19921875" style="1" customWidth="1"/>
    <col min="262" max="262" width="20.09765625" style="1" customWidth="1"/>
    <col min="263" max="263" width="13.796875" style="1" customWidth="1"/>
    <col min="264" max="264" width="14.898437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55.19921875" style="1" customWidth="1"/>
    <col min="518" max="518" width="20.09765625" style="1" customWidth="1"/>
    <col min="519" max="519" width="13.796875" style="1" customWidth="1"/>
    <col min="520" max="520" width="14.898437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55.19921875" style="1" customWidth="1"/>
    <col min="774" max="774" width="20.09765625" style="1" customWidth="1"/>
    <col min="775" max="775" width="13.796875" style="1" customWidth="1"/>
    <col min="776" max="776" width="14.898437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55.19921875" style="1" customWidth="1"/>
    <col min="1030" max="1030" width="20.09765625" style="1" customWidth="1"/>
    <col min="1031" max="1031" width="13.796875" style="1" customWidth="1"/>
    <col min="1032" max="1032" width="14.898437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55.19921875" style="1" customWidth="1"/>
    <col min="1286" max="1286" width="20.09765625" style="1" customWidth="1"/>
    <col min="1287" max="1287" width="13.796875" style="1" customWidth="1"/>
    <col min="1288" max="1288" width="14.898437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55.19921875" style="1" customWidth="1"/>
    <col min="1542" max="1542" width="20.09765625" style="1" customWidth="1"/>
    <col min="1543" max="1543" width="13.796875" style="1" customWidth="1"/>
    <col min="1544" max="1544" width="14.898437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55.19921875" style="1" customWidth="1"/>
    <col min="1798" max="1798" width="20.09765625" style="1" customWidth="1"/>
    <col min="1799" max="1799" width="13.796875" style="1" customWidth="1"/>
    <col min="1800" max="1800" width="14.898437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55.19921875" style="1" customWidth="1"/>
    <col min="2054" max="2054" width="20.09765625" style="1" customWidth="1"/>
    <col min="2055" max="2055" width="13.796875" style="1" customWidth="1"/>
    <col min="2056" max="2056" width="14.898437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55.19921875" style="1" customWidth="1"/>
    <col min="2310" max="2310" width="20.09765625" style="1" customWidth="1"/>
    <col min="2311" max="2311" width="13.796875" style="1" customWidth="1"/>
    <col min="2312" max="2312" width="14.898437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55.19921875" style="1" customWidth="1"/>
    <col min="2566" max="2566" width="20.09765625" style="1" customWidth="1"/>
    <col min="2567" max="2567" width="13.796875" style="1" customWidth="1"/>
    <col min="2568" max="2568" width="14.898437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55.19921875" style="1" customWidth="1"/>
    <col min="2822" max="2822" width="20.09765625" style="1" customWidth="1"/>
    <col min="2823" max="2823" width="13.796875" style="1" customWidth="1"/>
    <col min="2824" max="2824" width="14.898437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55.19921875" style="1" customWidth="1"/>
    <col min="3078" max="3078" width="20.09765625" style="1" customWidth="1"/>
    <col min="3079" max="3079" width="13.796875" style="1" customWidth="1"/>
    <col min="3080" max="3080" width="14.898437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55.19921875" style="1" customWidth="1"/>
    <col min="3334" max="3334" width="20.09765625" style="1" customWidth="1"/>
    <col min="3335" max="3335" width="13.796875" style="1" customWidth="1"/>
    <col min="3336" max="3336" width="14.898437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55.19921875" style="1" customWidth="1"/>
    <col min="3590" max="3590" width="20.09765625" style="1" customWidth="1"/>
    <col min="3591" max="3591" width="13.796875" style="1" customWidth="1"/>
    <col min="3592" max="3592" width="14.898437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55.19921875" style="1" customWidth="1"/>
    <col min="3846" max="3846" width="20.09765625" style="1" customWidth="1"/>
    <col min="3847" max="3847" width="13.796875" style="1" customWidth="1"/>
    <col min="3848" max="3848" width="14.898437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55.19921875" style="1" customWidth="1"/>
    <col min="4102" max="4102" width="20.09765625" style="1" customWidth="1"/>
    <col min="4103" max="4103" width="13.796875" style="1" customWidth="1"/>
    <col min="4104" max="4104" width="14.898437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55.19921875" style="1" customWidth="1"/>
    <col min="4358" max="4358" width="20.09765625" style="1" customWidth="1"/>
    <col min="4359" max="4359" width="13.796875" style="1" customWidth="1"/>
    <col min="4360" max="4360" width="14.898437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55.19921875" style="1" customWidth="1"/>
    <col min="4614" max="4614" width="20.09765625" style="1" customWidth="1"/>
    <col min="4615" max="4615" width="13.796875" style="1" customWidth="1"/>
    <col min="4616" max="4616" width="14.898437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55.19921875" style="1" customWidth="1"/>
    <col min="4870" max="4870" width="20.09765625" style="1" customWidth="1"/>
    <col min="4871" max="4871" width="13.796875" style="1" customWidth="1"/>
    <col min="4872" max="4872" width="14.898437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55.19921875" style="1" customWidth="1"/>
    <col min="5126" max="5126" width="20.09765625" style="1" customWidth="1"/>
    <col min="5127" max="5127" width="13.796875" style="1" customWidth="1"/>
    <col min="5128" max="5128" width="14.898437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55.19921875" style="1" customWidth="1"/>
    <col min="5382" max="5382" width="20.09765625" style="1" customWidth="1"/>
    <col min="5383" max="5383" width="13.796875" style="1" customWidth="1"/>
    <col min="5384" max="5384" width="14.898437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55.19921875" style="1" customWidth="1"/>
    <col min="5638" max="5638" width="20.09765625" style="1" customWidth="1"/>
    <col min="5639" max="5639" width="13.796875" style="1" customWidth="1"/>
    <col min="5640" max="5640" width="14.898437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55.19921875" style="1" customWidth="1"/>
    <col min="5894" max="5894" width="20.09765625" style="1" customWidth="1"/>
    <col min="5895" max="5895" width="13.796875" style="1" customWidth="1"/>
    <col min="5896" max="5896" width="14.898437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55.19921875" style="1" customWidth="1"/>
    <col min="6150" max="6150" width="20.09765625" style="1" customWidth="1"/>
    <col min="6151" max="6151" width="13.796875" style="1" customWidth="1"/>
    <col min="6152" max="6152" width="14.898437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55.19921875" style="1" customWidth="1"/>
    <col min="6406" max="6406" width="20.09765625" style="1" customWidth="1"/>
    <col min="6407" max="6407" width="13.796875" style="1" customWidth="1"/>
    <col min="6408" max="6408" width="14.898437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55.19921875" style="1" customWidth="1"/>
    <col min="6662" max="6662" width="20.09765625" style="1" customWidth="1"/>
    <col min="6663" max="6663" width="13.796875" style="1" customWidth="1"/>
    <col min="6664" max="6664" width="14.898437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55.19921875" style="1" customWidth="1"/>
    <col min="6918" max="6918" width="20.09765625" style="1" customWidth="1"/>
    <col min="6919" max="6919" width="13.796875" style="1" customWidth="1"/>
    <col min="6920" max="6920" width="14.898437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55.19921875" style="1" customWidth="1"/>
    <col min="7174" max="7174" width="20.09765625" style="1" customWidth="1"/>
    <col min="7175" max="7175" width="13.796875" style="1" customWidth="1"/>
    <col min="7176" max="7176" width="14.898437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55.19921875" style="1" customWidth="1"/>
    <col min="7430" max="7430" width="20.09765625" style="1" customWidth="1"/>
    <col min="7431" max="7431" width="13.796875" style="1" customWidth="1"/>
    <col min="7432" max="7432" width="14.898437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55.19921875" style="1" customWidth="1"/>
    <col min="7686" max="7686" width="20.09765625" style="1" customWidth="1"/>
    <col min="7687" max="7687" width="13.796875" style="1" customWidth="1"/>
    <col min="7688" max="7688" width="14.898437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55.19921875" style="1" customWidth="1"/>
    <col min="7942" max="7942" width="20.09765625" style="1" customWidth="1"/>
    <col min="7943" max="7943" width="13.796875" style="1" customWidth="1"/>
    <col min="7944" max="7944" width="14.898437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55.19921875" style="1" customWidth="1"/>
    <col min="8198" max="8198" width="20.09765625" style="1" customWidth="1"/>
    <col min="8199" max="8199" width="13.796875" style="1" customWidth="1"/>
    <col min="8200" max="8200" width="14.898437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55.19921875" style="1" customWidth="1"/>
    <col min="8454" max="8454" width="20.09765625" style="1" customWidth="1"/>
    <col min="8455" max="8455" width="13.796875" style="1" customWidth="1"/>
    <col min="8456" max="8456" width="14.898437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55.19921875" style="1" customWidth="1"/>
    <col min="8710" max="8710" width="20.09765625" style="1" customWidth="1"/>
    <col min="8711" max="8711" width="13.796875" style="1" customWidth="1"/>
    <col min="8712" max="8712" width="14.898437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55.19921875" style="1" customWidth="1"/>
    <col min="8966" max="8966" width="20.09765625" style="1" customWidth="1"/>
    <col min="8967" max="8967" width="13.796875" style="1" customWidth="1"/>
    <col min="8968" max="8968" width="14.898437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55.19921875" style="1" customWidth="1"/>
    <col min="9222" max="9222" width="20.09765625" style="1" customWidth="1"/>
    <col min="9223" max="9223" width="13.796875" style="1" customWidth="1"/>
    <col min="9224" max="9224" width="14.898437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55.19921875" style="1" customWidth="1"/>
    <col min="9478" max="9478" width="20.09765625" style="1" customWidth="1"/>
    <col min="9479" max="9479" width="13.796875" style="1" customWidth="1"/>
    <col min="9480" max="9480" width="14.898437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55.19921875" style="1" customWidth="1"/>
    <col min="9734" max="9734" width="20.09765625" style="1" customWidth="1"/>
    <col min="9735" max="9735" width="13.796875" style="1" customWidth="1"/>
    <col min="9736" max="9736" width="14.898437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55.19921875" style="1" customWidth="1"/>
    <col min="9990" max="9990" width="20.09765625" style="1" customWidth="1"/>
    <col min="9991" max="9991" width="13.796875" style="1" customWidth="1"/>
    <col min="9992" max="9992" width="14.898437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55.19921875" style="1" customWidth="1"/>
    <col min="10246" max="10246" width="20.09765625" style="1" customWidth="1"/>
    <col min="10247" max="10247" width="13.796875" style="1" customWidth="1"/>
    <col min="10248" max="10248" width="14.898437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55.19921875" style="1" customWidth="1"/>
    <col min="10502" max="10502" width="20.09765625" style="1" customWidth="1"/>
    <col min="10503" max="10503" width="13.796875" style="1" customWidth="1"/>
    <col min="10504" max="10504" width="14.898437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55.19921875" style="1" customWidth="1"/>
    <col min="10758" max="10758" width="20.09765625" style="1" customWidth="1"/>
    <col min="10759" max="10759" width="13.796875" style="1" customWidth="1"/>
    <col min="10760" max="10760" width="14.898437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55.19921875" style="1" customWidth="1"/>
    <col min="11014" max="11014" width="20.09765625" style="1" customWidth="1"/>
    <col min="11015" max="11015" width="13.796875" style="1" customWidth="1"/>
    <col min="11016" max="11016" width="14.898437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55.19921875" style="1" customWidth="1"/>
    <col min="11270" max="11270" width="20.09765625" style="1" customWidth="1"/>
    <col min="11271" max="11271" width="13.796875" style="1" customWidth="1"/>
    <col min="11272" max="11272" width="14.898437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55.19921875" style="1" customWidth="1"/>
    <col min="11526" max="11526" width="20.09765625" style="1" customWidth="1"/>
    <col min="11527" max="11527" width="13.796875" style="1" customWidth="1"/>
    <col min="11528" max="11528" width="14.898437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55.19921875" style="1" customWidth="1"/>
    <col min="11782" max="11782" width="20.09765625" style="1" customWidth="1"/>
    <col min="11783" max="11783" width="13.796875" style="1" customWidth="1"/>
    <col min="11784" max="11784" width="14.898437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55.19921875" style="1" customWidth="1"/>
    <col min="12038" max="12038" width="20.09765625" style="1" customWidth="1"/>
    <col min="12039" max="12039" width="13.796875" style="1" customWidth="1"/>
    <col min="12040" max="12040" width="14.898437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55.19921875" style="1" customWidth="1"/>
    <col min="12294" max="12294" width="20.09765625" style="1" customWidth="1"/>
    <col min="12295" max="12295" width="13.796875" style="1" customWidth="1"/>
    <col min="12296" max="12296" width="14.898437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55.19921875" style="1" customWidth="1"/>
    <col min="12550" max="12550" width="20.09765625" style="1" customWidth="1"/>
    <col min="12551" max="12551" width="13.796875" style="1" customWidth="1"/>
    <col min="12552" max="12552" width="14.898437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55.19921875" style="1" customWidth="1"/>
    <col min="12806" max="12806" width="20.09765625" style="1" customWidth="1"/>
    <col min="12807" max="12807" width="13.796875" style="1" customWidth="1"/>
    <col min="12808" max="12808" width="14.898437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55.19921875" style="1" customWidth="1"/>
    <col min="13062" max="13062" width="20.09765625" style="1" customWidth="1"/>
    <col min="13063" max="13063" width="13.796875" style="1" customWidth="1"/>
    <col min="13064" max="13064" width="14.898437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55.19921875" style="1" customWidth="1"/>
    <col min="13318" max="13318" width="20.09765625" style="1" customWidth="1"/>
    <col min="13319" max="13319" width="13.796875" style="1" customWidth="1"/>
    <col min="13320" max="13320" width="14.898437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55.19921875" style="1" customWidth="1"/>
    <col min="13574" max="13574" width="20.09765625" style="1" customWidth="1"/>
    <col min="13575" max="13575" width="13.796875" style="1" customWidth="1"/>
    <col min="13576" max="13576" width="14.898437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55.19921875" style="1" customWidth="1"/>
    <col min="13830" max="13830" width="20.09765625" style="1" customWidth="1"/>
    <col min="13831" max="13831" width="13.796875" style="1" customWidth="1"/>
    <col min="13832" max="13832" width="14.898437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55.19921875" style="1" customWidth="1"/>
    <col min="14086" max="14086" width="20.09765625" style="1" customWidth="1"/>
    <col min="14087" max="14087" width="13.796875" style="1" customWidth="1"/>
    <col min="14088" max="14088" width="14.898437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55.19921875" style="1" customWidth="1"/>
    <col min="14342" max="14342" width="20.09765625" style="1" customWidth="1"/>
    <col min="14343" max="14343" width="13.796875" style="1" customWidth="1"/>
    <col min="14344" max="14344" width="14.898437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55.19921875" style="1" customWidth="1"/>
    <col min="14598" max="14598" width="20.09765625" style="1" customWidth="1"/>
    <col min="14599" max="14599" width="13.796875" style="1" customWidth="1"/>
    <col min="14600" max="14600" width="14.898437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55.19921875" style="1" customWidth="1"/>
    <col min="14854" max="14854" width="20.09765625" style="1" customWidth="1"/>
    <col min="14855" max="14855" width="13.796875" style="1" customWidth="1"/>
    <col min="14856" max="14856" width="14.898437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55.19921875" style="1" customWidth="1"/>
    <col min="15110" max="15110" width="20.09765625" style="1" customWidth="1"/>
    <col min="15111" max="15111" width="13.796875" style="1" customWidth="1"/>
    <col min="15112" max="15112" width="14.898437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55.19921875" style="1" customWidth="1"/>
    <col min="15366" max="15366" width="20.09765625" style="1" customWidth="1"/>
    <col min="15367" max="15367" width="13.796875" style="1" customWidth="1"/>
    <col min="15368" max="15368" width="14.898437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55.19921875" style="1" customWidth="1"/>
    <col min="15622" max="15622" width="20.09765625" style="1" customWidth="1"/>
    <col min="15623" max="15623" width="13.796875" style="1" customWidth="1"/>
    <col min="15624" max="15624" width="14.898437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55.19921875" style="1" customWidth="1"/>
    <col min="15878" max="15878" width="20.09765625" style="1" customWidth="1"/>
    <col min="15879" max="15879" width="13.796875" style="1" customWidth="1"/>
    <col min="15880" max="15880" width="14.898437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55.19921875" style="1" customWidth="1"/>
    <col min="16134" max="16134" width="20.09765625" style="1" customWidth="1"/>
    <col min="16135" max="16135" width="13.796875" style="1" customWidth="1"/>
    <col min="16136" max="16136" width="14.898437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40.5" customHeight="1" x14ac:dyDescent="0.25">
      <c r="B3" s="5" t="s">
        <v>88</v>
      </c>
      <c r="C3" s="5" t="s">
        <v>63</v>
      </c>
      <c r="D3" s="5" t="s">
        <v>410</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95.55" customHeight="1" x14ac:dyDescent="0.25">
      <c r="B8" s="7" t="s">
        <v>402</v>
      </c>
      <c r="C8" s="15" t="s">
        <v>403</v>
      </c>
      <c r="D8" s="14" t="s">
        <v>411</v>
      </c>
      <c r="E8" s="5"/>
      <c r="F8" s="5"/>
      <c r="G8" s="7"/>
      <c r="H8" s="7"/>
      <c r="I8" s="11"/>
      <c r="J8" s="7"/>
    </row>
    <row r="9" spans="1:10" ht="48" customHeight="1" x14ac:dyDescent="0.25">
      <c r="B9" s="7" t="s">
        <v>24</v>
      </c>
      <c r="C9" s="5" t="s">
        <v>287</v>
      </c>
      <c r="D9" s="8" t="s">
        <v>288</v>
      </c>
      <c r="E9" s="5"/>
      <c r="F9" s="5"/>
      <c r="G9" s="7"/>
      <c r="H9" s="7"/>
      <c r="I9" s="11"/>
      <c r="J9" s="7"/>
    </row>
    <row r="10" spans="1:10" ht="53.55" customHeight="1" x14ac:dyDescent="0.25">
      <c r="B10" s="7" t="s">
        <v>289</v>
      </c>
      <c r="C10" s="7" t="s">
        <v>290</v>
      </c>
      <c r="D10" s="8" t="s">
        <v>412</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sheetData>
  <mergeCells count="3">
    <mergeCell ref="B1:E1"/>
    <mergeCell ref="B6:J6"/>
    <mergeCell ref="B16:D16"/>
  </mergeCells>
  <phoneticPr fontId="29" type="noConversion"/>
  <dataValidations count="2">
    <dataValidation type="list" allowBlank="1" showInputMessage="1" showErrorMessage="1" sqref="E3" xr:uid="{00000000-0002-0000-2200-000000000000}">
      <formula1>"通过,部分通过,不通过"</formula1>
    </dataValidation>
    <dataValidation type="list" allowBlank="1" showInputMessage="1" showErrorMessage="1" sqref="H8:H14 H65537:H65543 H131073:H131079 H196609:H196615 H262145:H262151 H327681:H327687 H393217:H393223 H458753:H458759 H524289:H524295 H589825:H589831 H655361:H655367 H720897:H720903 H786433:H786439 H851969:H851975 H917505:H917511 H983041:H983047 JE8:JE14 JE65537:JE65543 JE131073:JE131079 JE196609:JE196615 JE262145:JE262151 JE327681:JE327687 JE393217:JE393223 JE458753:JE458759 JE524289:JE524295 JE589825:JE589831 JE655361:JE655367 JE720897:JE720903 JE786433:JE786439 JE851969:JE851975 JE917505:JE917511 JE983041:JE983047 TA8:TA14 TA65537:TA65543 TA131073:TA131079 TA196609:TA196615 TA262145:TA262151 TA327681:TA327687 TA393217:TA393223 TA458753:TA458759 TA524289:TA524295 TA589825:TA589831 TA655361:TA655367 TA720897:TA720903 TA786433:TA786439 TA851969:TA851975 TA917505:TA917511 TA983041:TA983047 ACW8:ACW14 ACW65537:ACW65543 ACW131073:ACW131079 ACW196609:ACW196615 ACW262145:ACW262151 ACW327681:ACW327687 ACW393217:ACW393223 ACW458753:ACW458759 ACW524289:ACW524295 ACW589825:ACW589831 ACW655361:ACW655367 ACW720897:ACW720903 ACW786433:ACW786439 ACW851969:ACW851975 ACW917505:ACW917511 ACW983041:ACW983047 AMS8:AMS14 AMS65537:AMS65543 AMS131073:AMS131079 AMS196609:AMS196615 AMS262145:AMS262151 AMS327681:AMS327687 AMS393217:AMS393223 AMS458753:AMS458759 AMS524289:AMS524295 AMS589825:AMS589831 AMS655361:AMS655367 AMS720897:AMS720903 AMS786433:AMS786439 AMS851969:AMS851975 AMS917505:AMS917511 AMS983041:AMS983047 AWO8:AWO14 AWO65537:AWO65543 AWO131073:AWO131079 AWO196609:AWO196615 AWO262145:AWO262151 AWO327681:AWO327687 AWO393217:AWO393223 AWO458753:AWO458759 AWO524289:AWO524295 AWO589825:AWO589831 AWO655361:AWO655367 AWO720897:AWO720903 AWO786433:AWO786439 AWO851969:AWO851975 AWO917505:AWO917511 AWO983041:AWO983047 BGK8:BGK14 BGK65537:BGK65543 BGK131073:BGK131079 BGK196609:BGK196615 BGK262145:BGK262151 BGK327681:BGK327687 BGK393217:BGK393223 BGK458753:BGK458759 BGK524289:BGK524295 BGK589825:BGK589831 BGK655361:BGK655367 BGK720897:BGK720903 BGK786433:BGK786439 BGK851969:BGK851975 BGK917505:BGK917511 BGK983041:BGK983047 BQG8:BQG14 BQG65537:BQG65543 BQG131073:BQG131079 BQG196609:BQG196615 BQG262145:BQG262151 BQG327681:BQG327687 BQG393217:BQG393223 BQG458753:BQG458759 BQG524289:BQG524295 BQG589825:BQG589831 BQG655361:BQG655367 BQG720897:BQG720903 BQG786433:BQG786439 BQG851969:BQG851975 BQG917505:BQG917511 BQG983041:BQG983047 CAC8:CAC14 CAC65537:CAC65543 CAC131073:CAC131079 CAC196609:CAC196615 CAC262145:CAC262151 CAC327681:CAC327687 CAC393217:CAC393223 CAC458753:CAC458759 CAC524289:CAC524295 CAC589825:CAC589831 CAC655361:CAC655367 CAC720897:CAC720903 CAC786433:CAC786439 CAC851969:CAC851975 CAC917505:CAC917511 CAC983041:CAC983047 CJY8:CJY14 CJY65537:CJY65543 CJY131073:CJY131079 CJY196609:CJY196615 CJY262145:CJY262151 CJY327681:CJY327687 CJY393217:CJY393223 CJY458753:CJY458759 CJY524289:CJY524295 CJY589825:CJY589831 CJY655361:CJY655367 CJY720897:CJY720903 CJY786433:CJY786439 CJY851969:CJY851975 CJY917505:CJY917511 CJY983041:CJY983047 CTU8:CTU14 CTU65537:CTU65543 CTU131073:CTU131079 CTU196609:CTU196615 CTU262145:CTU262151 CTU327681:CTU327687 CTU393217:CTU393223 CTU458753:CTU458759 CTU524289:CTU524295 CTU589825:CTU589831 CTU655361:CTU655367 CTU720897:CTU720903 CTU786433:CTU786439 CTU851969:CTU851975 CTU917505:CTU917511 CTU983041:CTU983047 DDQ8:DDQ14 DDQ65537:DDQ65543 DDQ131073:DDQ131079 DDQ196609:DDQ196615 DDQ262145:DDQ262151 DDQ327681:DDQ327687 DDQ393217:DDQ393223 DDQ458753:DDQ458759 DDQ524289:DDQ524295 DDQ589825:DDQ589831 DDQ655361:DDQ655367 DDQ720897:DDQ720903 DDQ786433:DDQ786439 DDQ851969:DDQ851975 DDQ917505:DDQ917511 DDQ983041:DDQ983047 DNM8:DNM14 DNM65537:DNM65543 DNM131073:DNM131079 DNM196609:DNM196615 DNM262145:DNM262151 DNM327681:DNM327687 DNM393217:DNM393223 DNM458753:DNM458759 DNM524289:DNM524295 DNM589825:DNM589831 DNM655361:DNM655367 DNM720897:DNM720903 DNM786433:DNM786439 DNM851969:DNM851975 DNM917505:DNM917511 DNM983041:DNM983047 DXI8:DXI14 DXI65537:DXI65543 DXI131073:DXI131079 DXI196609:DXI196615 DXI262145:DXI262151 DXI327681:DXI327687 DXI393217:DXI393223 DXI458753:DXI458759 DXI524289:DXI524295 DXI589825:DXI589831 DXI655361:DXI655367 DXI720897:DXI720903 DXI786433:DXI786439 DXI851969:DXI851975 DXI917505:DXI917511 DXI983041:DXI983047 EHE8:EHE14 EHE65537:EHE65543 EHE131073:EHE131079 EHE196609:EHE196615 EHE262145:EHE262151 EHE327681:EHE327687 EHE393217:EHE393223 EHE458753:EHE458759 EHE524289:EHE524295 EHE589825:EHE589831 EHE655361:EHE655367 EHE720897:EHE720903 EHE786433:EHE786439 EHE851969:EHE851975 EHE917505:EHE917511 EHE983041:EHE983047 ERA8:ERA14 ERA65537:ERA65543 ERA131073:ERA131079 ERA196609:ERA196615 ERA262145:ERA262151 ERA327681:ERA327687 ERA393217:ERA393223 ERA458753:ERA458759 ERA524289:ERA524295 ERA589825:ERA589831 ERA655361:ERA655367 ERA720897:ERA720903 ERA786433:ERA786439 ERA851969:ERA851975 ERA917505:ERA917511 ERA983041:ERA983047 FAW8:FAW14 FAW65537:FAW65543 FAW131073:FAW131079 FAW196609:FAW196615 FAW262145:FAW262151 FAW327681:FAW327687 FAW393217:FAW393223 FAW458753:FAW458759 FAW524289:FAW524295 FAW589825:FAW589831 FAW655361:FAW655367 FAW720897:FAW720903 FAW786433:FAW786439 FAW851969:FAW851975 FAW917505:FAW917511 FAW983041:FAW983047 FKS8:FKS14 FKS65537:FKS65543 FKS131073:FKS131079 FKS196609:FKS196615 FKS262145:FKS262151 FKS327681:FKS327687 FKS393217:FKS393223 FKS458753:FKS458759 FKS524289:FKS524295 FKS589825:FKS589831 FKS655361:FKS655367 FKS720897:FKS720903 FKS786433:FKS786439 FKS851969:FKS851975 FKS917505:FKS917511 FKS983041:FKS983047 FUO8:FUO14 FUO65537:FUO65543 FUO131073:FUO131079 FUO196609:FUO196615 FUO262145:FUO262151 FUO327681:FUO327687 FUO393217:FUO393223 FUO458753:FUO458759 FUO524289:FUO524295 FUO589825:FUO589831 FUO655361:FUO655367 FUO720897:FUO720903 FUO786433:FUO786439 FUO851969:FUO851975 FUO917505:FUO917511 FUO983041:FUO983047 GEK8:GEK14 GEK65537:GEK65543 GEK131073:GEK131079 GEK196609:GEK196615 GEK262145:GEK262151 GEK327681:GEK327687 GEK393217:GEK393223 GEK458753:GEK458759 GEK524289:GEK524295 GEK589825:GEK589831 GEK655361:GEK655367 GEK720897:GEK720903 GEK786433:GEK786439 GEK851969:GEK851975 GEK917505:GEK917511 GEK983041:GEK983047 GOG8:GOG14 GOG65537:GOG65543 GOG131073:GOG131079 GOG196609:GOG196615 GOG262145:GOG262151 GOG327681:GOG327687 GOG393217:GOG393223 GOG458753:GOG458759 GOG524289:GOG524295 GOG589825:GOG589831 GOG655361:GOG655367 GOG720897:GOG720903 GOG786433:GOG786439 GOG851969:GOG851975 GOG917505:GOG917511 GOG983041:GOG983047 GYC8:GYC14 GYC65537:GYC65543 GYC131073:GYC131079 GYC196609:GYC196615 GYC262145:GYC262151 GYC327681:GYC327687 GYC393217:GYC393223 GYC458753:GYC458759 GYC524289:GYC524295 GYC589825:GYC589831 GYC655361:GYC655367 GYC720897:GYC720903 GYC786433:GYC786439 GYC851969:GYC851975 GYC917505:GYC917511 GYC983041:GYC983047 HHY8:HHY14 HHY65537:HHY65543 HHY131073:HHY131079 HHY196609:HHY196615 HHY262145:HHY262151 HHY327681:HHY327687 HHY393217:HHY393223 HHY458753:HHY458759 HHY524289:HHY524295 HHY589825:HHY589831 HHY655361:HHY655367 HHY720897:HHY720903 HHY786433:HHY786439 HHY851969:HHY851975 HHY917505:HHY917511 HHY983041:HHY983047 HRU8:HRU14 HRU65537:HRU65543 HRU131073:HRU131079 HRU196609:HRU196615 HRU262145:HRU262151 HRU327681:HRU327687 HRU393217:HRU393223 HRU458753:HRU458759 HRU524289:HRU524295 HRU589825:HRU589831 HRU655361:HRU655367 HRU720897:HRU720903 HRU786433:HRU786439 HRU851969:HRU851975 HRU917505:HRU917511 HRU983041:HRU983047 IBQ8:IBQ14 IBQ65537:IBQ65543 IBQ131073:IBQ131079 IBQ196609:IBQ196615 IBQ262145:IBQ262151 IBQ327681:IBQ327687 IBQ393217:IBQ393223 IBQ458753:IBQ458759 IBQ524289:IBQ524295 IBQ589825:IBQ589831 IBQ655361:IBQ655367 IBQ720897:IBQ720903 IBQ786433:IBQ786439 IBQ851969:IBQ851975 IBQ917505:IBQ917511 IBQ983041:IBQ983047 ILM8:ILM14 ILM65537:ILM65543 ILM131073:ILM131079 ILM196609:ILM196615 ILM262145:ILM262151 ILM327681:ILM327687 ILM393217:ILM393223 ILM458753:ILM458759 ILM524289:ILM524295 ILM589825:ILM589831 ILM655361:ILM655367 ILM720897:ILM720903 ILM786433:ILM786439 ILM851969:ILM851975 ILM917505:ILM917511 ILM983041:ILM983047 IVI8:IVI14 IVI65537:IVI65543 IVI131073:IVI131079 IVI196609:IVI196615 IVI262145:IVI262151 IVI327681:IVI327687 IVI393217:IVI393223 IVI458753:IVI458759 IVI524289:IVI524295 IVI589825:IVI589831 IVI655361:IVI655367 IVI720897:IVI720903 IVI786433:IVI786439 IVI851969:IVI851975 IVI917505:IVI917511 IVI983041:IVI983047 JFE8:JFE14 JFE65537:JFE65543 JFE131073:JFE131079 JFE196609:JFE196615 JFE262145:JFE262151 JFE327681:JFE327687 JFE393217:JFE393223 JFE458753:JFE458759 JFE524289:JFE524295 JFE589825:JFE589831 JFE655361:JFE655367 JFE720897:JFE720903 JFE786433:JFE786439 JFE851969:JFE851975 JFE917505:JFE917511 JFE983041:JFE983047 JPA8:JPA14 JPA65537:JPA65543 JPA131073:JPA131079 JPA196609:JPA196615 JPA262145:JPA262151 JPA327681:JPA327687 JPA393217:JPA393223 JPA458753:JPA458759 JPA524289:JPA524295 JPA589825:JPA589831 JPA655361:JPA655367 JPA720897:JPA720903 JPA786433:JPA786439 JPA851969:JPA851975 JPA917505:JPA917511 JPA983041:JPA983047 JYW8:JYW14 JYW65537:JYW65543 JYW131073:JYW131079 JYW196609:JYW196615 JYW262145:JYW262151 JYW327681:JYW327687 JYW393217:JYW393223 JYW458753:JYW458759 JYW524289:JYW524295 JYW589825:JYW589831 JYW655361:JYW655367 JYW720897:JYW720903 JYW786433:JYW786439 JYW851969:JYW851975 JYW917505:JYW917511 JYW983041:JYW983047 KIS8:KIS14 KIS65537:KIS65543 KIS131073:KIS131079 KIS196609:KIS196615 KIS262145:KIS262151 KIS327681:KIS327687 KIS393217:KIS393223 KIS458753:KIS458759 KIS524289:KIS524295 KIS589825:KIS589831 KIS655361:KIS655367 KIS720897:KIS720903 KIS786433:KIS786439 KIS851969:KIS851975 KIS917505:KIS917511 KIS983041:KIS983047 KSO8:KSO14 KSO65537:KSO65543 KSO131073:KSO131079 KSO196609:KSO196615 KSO262145:KSO262151 KSO327681:KSO327687 KSO393217:KSO393223 KSO458753:KSO458759 KSO524289:KSO524295 KSO589825:KSO589831 KSO655361:KSO655367 KSO720897:KSO720903 KSO786433:KSO786439 KSO851969:KSO851975 KSO917505:KSO917511 KSO983041:KSO983047 LCK8:LCK14 LCK65537:LCK65543 LCK131073:LCK131079 LCK196609:LCK196615 LCK262145:LCK262151 LCK327681:LCK327687 LCK393217:LCK393223 LCK458753:LCK458759 LCK524289:LCK524295 LCK589825:LCK589831 LCK655361:LCK655367 LCK720897:LCK720903 LCK786433:LCK786439 LCK851969:LCK851975 LCK917505:LCK917511 LCK983041:LCK983047 LMG8:LMG14 LMG65537:LMG65543 LMG131073:LMG131079 LMG196609:LMG196615 LMG262145:LMG262151 LMG327681:LMG327687 LMG393217:LMG393223 LMG458753:LMG458759 LMG524289:LMG524295 LMG589825:LMG589831 LMG655361:LMG655367 LMG720897:LMG720903 LMG786433:LMG786439 LMG851969:LMG851975 LMG917505:LMG917511 LMG983041:LMG983047 LWC8:LWC14 LWC65537:LWC65543 LWC131073:LWC131079 LWC196609:LWC196615 LWC262145:LWC262151 LWC327681:LWC327687 LWC393217:LWC393223 LWC458753:LWC458759 LWC524289:LWC524295 LWC589825:LWC589831 LWC655361:LWC655367 LWC720897:LWC720903 LWC786433:LWC786439 LWC851969:LWC851975 LWC917505:LWC917511 LWC983041:LWC983047 MFY8:MFY14 MFY65537:MFY65543 MFY131073:MFY131079 MFY196609:MFY196615 MFY262145:MFY262151 MFY327681:MFY327687 MFY393217:MFY393223 MFY458753:MFY458759 MFY524289:MFY524295 MFY589825:MFY589831 MFY655361:MFY655367 MFY720897:MFY720903 MFY786433:MFY786439 MFY851969:MFY851975 MFY917505:MFY917511 MFY983041:MFY983047 MPU8:MPU14 MPU65537:MPU65543 MPU131073:MPU131079 MPU196609:MPU196615 MPU262145:MPU262151 MPU327681:MPU327687 MPU393217:MPU393223 MPU458753:MPU458759 MPU524289:MPU524295 MPU589825:MPU589831 MPU655361:MPU655367 MPU720897:MPU720903 MPU786433:MPU786439 MPU851969:MPU851975 MPU917505:MPU917511 MPU983041:MPU983047 MZQ8:MZQ14 MZQ65537:MZQ65543 MZQ131073:MZQ131079 MZQ196609:MZQ196615 MZQ262145:MZQ262151 MZQ327681:MZQ327687 MZQ393217:MZQ393223 MZQ458753:MZQ458759 MZQ524289:MZQ524295 MZQ589825:MZQ589831 MZQ655361:MZQ655367 MZQ720897:MZQ720903 MZQ786433:MZQ786439 MZQ851969:MZQ851975 MZQ917505:MZQ917511 MZQ983041:MZQ983047 NJM8:NJM14 NJM65537:NJM65543 NJM131073:NJM131079 NJM196609:NJM196615 NJM262145:NJM262151 NJM327681:NJM327687 NJM393217:NJM393223 NJM458753:NJM458759 NJM524289:NJM524295 NJM589825:NJM589831 NJM655361:NJM655367 NJM720897:NJM720903 NJM786433:NJM786439 NJM851969:NJM851975 NJM917505:NJM917511 NJM983041:NJM983047 NTI8:NTI14 NTI65537:NTI65543 NTI131073:NTI131079 NTI196609:NTI196615 NTI262145:NTI262151 NTI327681:NTI327687 NTI393217:NTI393223 NTI458753:NTI458759 NTI524289:NTI524295 NTI589825:NTI589831 NTI655361:NTI655367 NTI720897:NTI720903 NTI786433:NTI786439 NTI851969:NTI851975 NTI917505:NTI917511 NTI983041:NTI983047 ODE8:ODE14 ODE65537:ODE65543 ODE131073:ODE131079 ODE196609:ODE196615 ODE262145:ODE262151 ODE327681:ODE327687 ODE393217:ODE393223 ODE458753:ODE458759 ODE524289:ODE524295 ODE589825:ODE589831 ODE655361:ODE655367 ODE720897:ODE720903 ODE786433:ODE786439 ODE851969:ODE851975 ODE917505:ODE917511 ODE983041:ODE983047 ONA8:ONA14 ONA65537:ONA65543 ONA131073:ONA131079 ONA196609:ONA196615 ONA262145:ONA262151 ONA327681:ONA327687 ONA393217:ONA393223 ONA458753:ONA458759 ONA524289:ONA524295 ONA589825:ONA589831 ONA655361:ONA655367 ONA720897:ONA720903 ONA786433:ONA786439 ONA851969:ONA851975 ONA917505:ONA917511 ONA983041:ONA983047 OWW8:OWW14 OWW65537:OWW65543 OWW131073:OWW131079 OWW196609:OWW196615 OWW262145:OWW262151 OWW327681:OWW327687 OWW393217:OWW393223 OWW458753:OWW458759 OWW524289:OWW524295 OWW589825:OWW589831 OWW655361:OWW655367 OWW720897:OWW720903 OWW786433:OWW786439 OWW851969:OWW851975 OWW917505:OWW917511 OWW983041:OWW983047 PGS8:PGS14 PGS65537:PGS65543 PGS131073:PGS131079 PGS196609:PGS196615 PGS262145:PGS262151 PGS327681:PGS327687 PGS393217:PGS393223 PGS458753:PGS458759 PGS524289:PGS524295 PGS589825:PGS589831 PGS655361:PGS655367 PGS720897:PGS720903 PGS786433:PGS786439 PGS851969:PGS851975 PGS917505:PGS917511 PGS983041:PGS983047 PQO8:PQO14 PQO65537:PQO65543 PQO131073:PQO131079 PQO196609:PQO196615 PQO262145:PQO262151 PQO327681:PQO327687 PQO393217:PQO393223 PQO458753:PQO458759 PQO524289:PQO524295 PQO589825:PQO589831 PQO655361:PQO655367 PQO720897:PQO720903 PQO786433:PQO786439 PQO851969:PQO851975 PQO917505:PQO917511 PQO983041:PQO983047 QAK8:QAK14 QAK65537:QAK65543 QAK131073:QAK131079 QAK196609:QAK196615 QAK262145:QAK262151 QAK327681:QAK327687 QAK393217:QAK393223 QAK458753:QAK458759 QAK524289:QAK524295 QAK589825:QAK589831 QAK655361:QAK655367 QAK720897:QAK720903 QAK786433:QAK786439 QAK851969:QAK851975 QAK917505:QAK917511 QAK983041:QAK983047 QKG8:QKG14 QKG65537:QKG65543 QKG131073:QKG131079 QKG196609:QKG196615 QKG262145:QKG262151 QKG327681:QKG327687 QKG393217:QKG393223 QKG458753:QKG458759 QKG524289:QKG524295 QKG589825:QKG589831 QKG655361:QKG655367 QKG720897:QKG720903 QKG786433:QKG786439 QKG851969:QKG851975 QKG917505:QKG917511 QKG983041:QKG983047 QUC8:QUC14 QUC65537:QUC65543 QUC131073:QUC131079 QUC196609:QUC196615 QUC262145:QUC262151 QUC327681:QUC327687 QUC393217:QUC393223 QUC458753:QUC458759 QUC524289:QUC524295 QUC589825:QUC589831 QUC655361:QUC655367 QUC720897:QUC720903 QUC786433:QUC786439 QUC851969:QUC851975 QUC917505:QUC917511 QUC983041:QUC983047 RDY8:RDY14 RDY65537:RDY65543 RDY131073:RDY131079 RDY196609:RDY196615 RDY262145:RDY262151 RDY327681:RDY327687 RDY393217:RDY393223 RDY458753:RDY458759 RDY524289:RDY524295 RDY589825:RDY589831 RDY655361:RDY655367 RDY720897:RDY720903 RDY786433:RDY786439 RDY851969:RDY851975 RDY917505:RDY917511 RDY983041:RDY983047 RNU8:RNU14 RNU65537:RNU65543 RNU131073:RNU131079 RNU196609:RNU196615 RNU262145:RNU262151 RNU327681:RNU327687 RNU393217:RNU393223 RNU458753:RNU458759 RNU524289:RNU524295 RNU589825:RNU589831 RNU655361:RNU655367 RNU720897:RNU720903 RNU786433:RNU786439 RNU851969:RNU851975 RNU917505:RNU917511 RNU983041:RNU983047 RXQ8:RXQ14 RXQ65537:RXQ65543 RXQ131073:RXQ131079 RXQ196609:RXQ196615 RXQ262145:RXQ262151 RXQ327681:RXQ327687 RXQ393217:RXQ393223 RXQ458753:RXQ458759 RXQ524289:RXQ524295 RXQ589825:RXQ589831 RXQ655361:RXQ655367 RXQ720897:RXQ720903 RXQ786433:RXQ786439 RXQ851969:RXQ851975 RXQ917505:RXQ917511 RXQ983041:RXQ983047 SHM8:SHM14 SHM65537:SHM65543 SHM131073:SHM131079 SHM196609:SHM196615 SHM262145:SHM262151 SHM327681:SHM327687 SHM393217:SHM393223 SHM458753:SHM458759 SHM524289:SHM524295 SHM589825:SHM589831 SHM655361:SHM655367 SHM720897:SHM720903 SHM786433:SHM786439 SHM851969:SHM851975 SHM917505:SHM917511 SHM983041:SHM983047 SRI8:SRI14 SRI65537:SRI65543 SRI131073:SRI131079 SRI196609:SRI196615 SRI262145:SRI262151 SRI327681:SRI327687 SRI393217:SRI393223 SRI458753:SRI458759 SRI524289:SRI524295 SRI589825:SRI589831 SRI655361:SRI655367 SRI720897:SRI720903 SRI786433:SRI786439 SRI851969:SRI851975 SRI917505:SRI917511 SRI983041:SRI983047 TBE8:TBE14 TBE65537:TBE65543 TBE131073:TBE131079 TBE196609:TBE196615 TBE262145:TBE262151 TBE327681:TBE327687 TBE393217:TBE393223 TBE458753:TBE458759 TBE524289:TBE524295 TBE589825:TBE589831 TBE655361:TBE655367 TBE720897:TBE720903 TBE786433:TBE786439 TBE851969:TBE851975 TBE917505:TBE917511 TBE983041:TBE983047 TLA8:TLA14 TLA65537:TLA65543 TLA131073:TLA131079 TLA196609:TLA196615 TLA262145:TLA262151 TLA327681:TLA327687 TLA393217:TLA393223 TLA458753:TLA458759 TLA524289:TLA524295 TLA589825:TLA589831 TLA655361:TLA655367 TLA720897:TLA720903 TLA786433:TLA786439 TLA851969:TLA851975 TLA917505:TLA917511 TLA983041:TLA983047 TUW8:TUW14 TUW65537:TUW65543 TUW131073:TUW131079 TUW196609:TUW196615 TUW262145:TUW262151 TUW327681:TUW327687 TUW393217:TUW393223 TUW458753:TUW458759 TUW524289:TUW524295 TUW589825:TUW589831 TUW655361:TUW655367 TUW720897:TUW720903 TUW786433:TUW786439 TUW851969:TUW851975 TUW917505:TUW917511 TUW983041:TUW983047 UES8:UES14 UES65537:UES65543 UES131073:UES131079 UES196609:UES196615 UES262145:UES262151 UES327681:UES327687 UES393217:UES393223 UES458753:UES458759 UES524289:UES524295 UES589825:UES589831 UES655361:UES655367 UES720897:UES720903 UES786433:UES786439 UES851969:UES851975 UES917505:UES917511 UES983041:UES983047 UOO8:UOO14 UOO65537:UOO65543 UOO131073:UOO131079 UOO196609:UOO196615 UOO262145:UOO262151 UOO327681:UOO327687 UOO393217:UOO393223 UOO458753:UOO458759 UOO524289:UOO524295 UOO589825:UOO589831 UOO655361:UOO655367 UOO720897:UOO720903 UOO786433:UOO786439 UOO851969:UOO851975 UOO917505:UOO917511 UOO983041:UOO983047 UYK8:UYK14 UYK65537:UYK65543 UYK131073:UYK131079 UYK196609:UYK196615 UYK262145:UYK262151 UYK327681:UYK327687 UYK393217:UYK393223 UYK458753:UYK458759 UYK524289:UYK524295 UYK589825:UYK589831 UYK655361:UYK655367 UYK720897:UYK720903 UYK786433:UYK786439 UYK851969:UYK851975 UYK917505:UYK917511 UYK983041:UYK983047 VIG8:VIG14 VIG65537:VIG65543 VIG131073:VIG131079 VIG196609:VIG196615 VIG262145:VIG262151 VIG327681:VIG327687 VIG393217:VIG393223 VIG458753:VIG458759 VIG524289:VIG524295 VIG589825:VIG589831 VIG655361:VIG655367 VIG720897:VIG720903 VIG786433:VIG786439 VIG851969:VIG851975 VIG917505:VIG917511 VIG983041:VIG983047 VSC8:VSC14 VSC65537:VSC65543 VSC131073:VSC131079 VSC196609:VSC196615 VSC262145:VSC262151 VSC327681:VSC327687 VSC393217:VSC393223 VSC458753:VSC458759 VSC524289:VSC524295 VSC589825:VSC589831 VSC655361:VSC655367 VSC720897:VSC720903 VSC786433:VSC786439 VSC851969:VSC851975 VSC917505:VSC917511 VSC983041:VSC983047 WBY8:WBY14 WBY65537:WBY65543 WBY131073:WBY131079 WBY196609:WBY196615 WBY262145:WBY262151 WBY327681:WBY327687 WBY393217:WBY393223 WBY458753:WBY458759 WBY524289:WBY524295 WBY589825:WBY589831 WBY655361:WBY655367 WBY720897:WBY720903 WBY786433:WBY786439 WBY851969:WBY851975 WBY917505:WBY917511 WBY983041:WBY983047 WLU8:WLU14 WLU65537:WLU65543 WLU131073:WLU131079 WLU196609:WLU196615 WLU262145:WLU262151 WLU327681:WLU327687 WLU393217:WLU393223 WLU458753:WLU458759 WLU524289:WLU524295 WLU589825:WLU589831 WLU655361:WLU655367 WLU720897:WLU720903 WLU786433:WLU786439 WLU851969:WLU851975 WLU917505:WLU917511 WLU983041:WLU983047 WVQ8:WVQ14 WVQ65537:WVQ65543 WVQ131073:WVQ131079 WVQ196609:WVQ196615 WVQ262145:WVQ262151 WVQ327681:WVQ327687 WVQ393217:WVQ393223 WVQ458753:WVQ458759 WVQ524289:WVQ524295 WVQ589825:WVQ589831 WVQ655361:WVQ655367 WVQ720897:WVQ720903 WVQ786433:WVQ786439 WVQ851969:WVQ851975 WVQ917505:WVQ917511 WVQ983041:WVQ983047" xr:uid="{00000000-0002-0000-2200-000001000000}">
      <formula1>"正确,错误"</formula1>
    </dataValidation>
  </dataValidations>
  <hyperlinks>
    <hyperlink ref="A1" location="UAT测试案例清单!A1" display="返回" xr:uid="{00000000-0004-0000-22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J19"/>
  <sheetViews>
    <sheetView zoomScale="80" zoomScaleNormal="80" workbookViewId="0">
      <selection activeCell="I18" sqref="I18:I25"/>
    </sheetView>
  </sheetViews>
  <sheetFormatPr defaultColWidth="9" defaultRowHeight="12" x14ac:dyDescent="0.25"/>
  <cols>
    <col min="1" max="1" width="6.59765625" style="1" customWidth="1"/>
    <col min="2" max="2" width="19.69921875" style="1" customWidth="1"/>
    <col min="3" max="3" width="25.69921875" style="1" customWidth="1"/>
    <col min="4" max="4" width="73.69921875" style="1" customWidth="1"/>
    <col min="5" max="5" width="20.09765625" style="1" customWidth="1"/>
    <col min="6" max="6" width="13.796875" style="1" customWidth="1"/>
    <col min="7" max="7" width="14.898437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73.69921875" style="1" customWidth="1"/>
    <col min="262" max="262" width="20.09765625" style="1" customWidth="1"/>
    <col min="263" max="263" width="13.796875" style="1" customWidth="1"/>
    <col min="264" max="264" width="14.898437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73.69921875" style="1" customWidth="1"/>
    <col min="518" max="518" width="20.09765625" style="1" customWidth="1"/>
    <col min="519" max="519" width="13.796875" style="1" customWidth="1"/>
    <col min="520" max="520" width="14.898437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73.69921875" style="1" customWidth="1"/>
    <col min="774" max="774" width="20.09765625" style="1" customWidth="1"/>
    <col min="775" max="775" width="13.796875" style="1" customWidth="1"/>
    <col min="776" max="776" width="14.898437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73.69921875" style="1" customWidth="1"/>
    <col min="1030" max="1030" width="20.09765625" style="1" customWidth="1"/>
    <col min="1031" max="1031" width="13.796875" style="1" customWidth="1"/>
    <col min="1032" max="1032" width="14.898437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73.69921875" style="1" customWidth="1"/>
    <col min="1286" max="1286" width="20.09765625" style="1" customWidth="1"/>
    <col min="1287" max="1287" width="13.796875" style="1" customWidth="1"/>
    <col min="1288" max="1288" width="14.898437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73.69921875" style="1" customWidth="1"/>
    <col min="1542" max="1542" width="20.09765625" style="1" customWidth="1"/>
    <col min="1543" max="1543" width="13.796875" style="1" customWidth="1"/>
    <col min="1544" max="1544" width="14.898437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73.69921875" style="1" customWidth="1"/>
    <col min="1798" max="1798" width="20.09765625" style="1" customWidth="1"/>
    <col min="1799" max="1799" width="13.796875" style="1" customWidth="1"/>
    <col min="1800" max="1800" width="14.898437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73.69921875" style="1" customWidth="1"/>
    <col min="2054" max="2054" width="20.09765625" style="1" customWidth="1"/>
    <col min="2055" max="2055" width="13.796875" style="1" customWidth="1"/>
    <col min="2056" max="2056" width="14.898437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73.69921875" style="1" customWidth="1"/>
    <col min="2310" max="2310" width="20.09765625" style="1" customWidth="1"/>
    <col min="2311" max="2311" width="13.796875" style="1" customWidth="1"/>
    <col min="2312" max="2312" width="14.898437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73.69921875" style="1" customWidth="1"/>
    <col min="2566" max="2566" width="20.09765625" style="1" customWidth="1"/>
    <col min="2567" max="2567" width="13.796875" style="1" customWidth="1"/>
    <col min="2568" max="2568" width="14.898437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73.69921875" style="1" customWidth="1"/>
    <col min="2822" max="2822" width="20.09765625" style="1" customWidth="1"/>
    <col min="2823" max="2823" width="13.796875" style="1" customWidth="1"/>
    <col min="2824" max="2824" width="14.898437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73.69921875" style="1" customWidth="1"/>
    <col min="3078" max="3078" width="20.09765625" style="1" customWidth="1"/>
    <col min="3079" max="3079" width="13.796875" style="1" customWidth="1"/>
    <col min="3080" max="3080" width="14.898437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73.69921875" style="1" customWidth="1"/>
    <col min="3334" max="3334" width="20.09765625" style="1" customWidth="1"/>
    <col min="3335" max="3335" width="13.796875" style="1" customWidth="1"/>
    <col min="3336" max="3336" width="14.898437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73.69921875" style="1" customWidth="1"/>
    <col min="3590" max="3590" width="20.09765625" style="1" customWidth="1"/>
    <col min="3591" max="3591" width="13.796875" style="1" customWidth="1"/>
    <col min="3592" max="3592" width="14.898437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73.69921875" style="1" customWidth="1"/>
    <col min="3846" max="3846" width="20.09765625" style="1" customWidth="1"/>
    <col min="3847" max="3847" width="13.796875" style="1" customWidth="1"/>
    <col min="3848" max="3848" width="14.898437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73.69921875" style="1" customWidth="1"/>
    <col min="4102" max="4102" width="20.09765625" style="1" customWidth="1"/>
    <col min="4103" max="4103" width="13.796875" style="1" customWidth="1"/>
    <col min="4104" max="4104" width="14.898437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73.69921875" style="1" customWidth="1"/>
    <col min="4358" max="4358" width="20.09765625" style="1" customWidth="1"/>
    <col min="4359" max="4359" width="13.796875" style="1" customWidth="1"/>
    <col min="4360" max="4360" width="14.898437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73.69921875" style="1" customWidth="1"/>
    <col min="4614" max="4614" width="20.09765625" style="1" customWidth="1"/>
    <col min="4615" max="4615" width="13.796875" style="1" customWidth="1"/>
    <col min="4616" max="4616" width="14.898437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73.69921875" style="1" customWidth="1"/>
    <col min="4870" max="4870" width="20.09765625" style="1" customWidth="1"/>
    <col min="4871" max="4871" width="13.796875" style="1" customWidth="1"/>
    <col min="4872" max="4872" width="14.898437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73.69921875" style="1" customWidth="1"/>
    <col min="5126" max="5126" width="20.09765625" style="1" customWidth="1"/>
    <col min="5127" max="5127" width="13.796875" style="1" customWidth="1"/>
    <col min="5128" max="5128" width="14.898437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73.69921875" style="1" customWidth="1"/>
    <col min="5382" max="5382" width="20.09765625" style="1" customWidth="1"/>
    <col min="5383" max="5383" width="13.796875" style="1" customWidth="1"/>
    <col min="5384" max="5384" width="14.898437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73.69921875" style="1" customWidth="1"/>
    <col min="5638" max="5638" width="20.09765625" style="1" customWidth="1"/>
    <col min="5639" max="5639" width="13.796875" style="1" customWidth="1"/>
    <col min="5640" max="5640" width="14.898437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73.69921875" style="1" customWidth="1"/>
    <col min="5894" max="5894" width="20.09765625" style="1" customWidth="1"/>
    <col min="5895" max="5895" width="13.796875" style="1" customWidth="1"/>
    <col min="5896" max="5896" width="14.898437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73.69921875" style="1" customWidth="1"/>
    <col min="6150" max="6150" width="20.09765625" style="1" customWidth="1"/>
    <col min="6151" max="6151" width="13.796875" style="1" customWidth="1"/>
    <col min="6152" max="6152" width="14.898437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73.69921875" style="1" customWidth="1"/>
    <col min="6406" max="6406" width="20.09765625" style="1" customWidth="1"/>
    <col min="6407" max="6407" width="13.796875" style="1" customWidth="1"/>
    <col min="6408" max="6408" width="14.898437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73.69921875" style="1" customWidth="1"/>
    <col min="6662" max="6662" width="20.09765625" style="1" customWidth="1"/>
    <col min="6663" max="6663" width="13.796875" style="1" customWidth="1"/>
    <col min="6664" max="6664" width="14.898437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73.69921875" style="1" customWidth="1"/>
    <col min="6918" max="6918" width="20.09765625" style="1" customWidth="1"/>
    <col min="6919" max="6919" width="13.796875" style="1" customWidth="1"/>
    <col min="6920" max="6920" width="14.898437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73.69921875" style="1" customWidth="1"/>
    <col min="7174" max="7174" width="20.09765625" style="1" customWidth="1"/>
    <col min="7175" max="7175" width="13.796875" style="1" customWidth="1"/>
    <col min="7176" max="7176" width="14.898437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73.69921875" style="1" customWidth="1"/>
    <col min="7430" max="7430" width="20.09765625" style="1" customWidth="1"/>
    <col min="7431" max="7431" width="13.796875" style="1" customWidth="1"/>
    <col min="7432" max="7432" width="14.898437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73.69921875" style="1" customWidth="1"/>
    <col min="7686" max="7686" width="20.09765625" style="1" customWidth="1"/>
    <col min="7687" max="7687" width="13.796875" style="1" customWidth="1"/>
    <col min="7688" max="7688" width="14.898437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73.69921875" style="1" customWidth="1"/>
    <col min="7942" max="7942" width="20.09765625" style="1" customWidth="1"/>
    <col min="7943" max="7943" width="13.796875" style="1" customWidth="1"/>
    <col min="7944" max="7944" width="14.898437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73.69921875" style="1" customWidth="1"/>
    <col min="8198" max="8198" width="20.09765625" style="1" customWidth="1"/>
    <col min="8199" max="8199" width="13.796875" style="1" customWidth="1"/>
    <col min="8200" max="8200" width="14.898437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73.69921875" style="1" customWidth="1"/>
    <col min="8454" max="8454" width="20.09765625" style="1" customWidth="1"/>
    <col min="8455" max="8455" width="13.796875" style="1" customWidth="1"/>
    <col min="8456" max="8456" width="14.898437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73.69921875" style="1" customWidth="1"/>
    <col min="8710" max="8710" width="20.09765625" style="1" customWidth="1"/>
    <col min="8711" max="8711" width="13.796875" style="1" customWidth="1"/>
    <col min="8712" max="8712" width="14.898437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73.69921875" style="1" customWidth="1"/>
    <col min="8966" max="8966" width="20.09765625" style="1" customWidth="1"/>
    <col min="8967" max="8967" width="13.796875" style="1" customWidth="1"/>
    <col min="8968" max="8968" width="14.898437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73.69921875" style="1" customWidth="1"/>
    <col min="9222" max="9222" width="20.09765625" style="1" customWidth="1"/>
    <col min="9223" max="9223" width="13.796875" style="1" customWidth="1"/>
    <col min="9224" max="9224" width="14.898437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73.69921875" style="1" customWidth="1"/>
    <col min="9478" max="9478" width="20.09765625" style="1" customWidth="1"/>
    <col min="9479" max="9479" width="13.796875" style="1" customWidth="1"/>
    <col min="9480" max="9480" width="14.898437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73.69921875" style="1" customWidth="1"/>
    <col min="9734" max="9734" width="20.09765625" style="1" customWidth="1"/>
    <col min="9735" max="9735" width="13.796875" style="1" customWidth="1"/>
    <col min="9736" max="9736" width="14.898437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73.69921875" style="1" customWidth="1"/>
    <col min="9990" max="9990" width="20.09765625" style="1" customWidth="1"/>
    <col min="9991" max="9991" width="13.796875" style="1" customWidth="1"/>
    <col min="9992" max="9992" width="14.898437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73.69921875" style="1" customWidth="1"/>
    <col min="10246" max="10246" width="20.09765625" style="1" customWidth="1"/>
    <col min="10247" max="10247" width="13.796875" style="1" customWidth="1"/>
    <col min="10248" max="10248" width="14.898437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73.69921875" style="1" customWidth="1"/>
    <col min="10502" max="10502" width="20.09765625" style="1" customWidth="1"/>
    <col min="10503" max="10503" width="13.796875" style="1" customWidth="1"/>
    <col min="10504" max="10504" width="14.898437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73.69921875" style="1" customWidth="1"/>
    <col min="10758" max="10758" width="20.09765625" style="1" customWidth="1"/>
    <col min="10759" max="10759" width="13.796875" style="1" customWidth="1"/>
    <col min="10760" max="10760" width="14.898437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73.69921875" style="1" customWidth="1"/>
    <col min="11014" max="11014" width="20.09765625" style="1" customWidth="1"/>
    <col min="11015" max="11015" width="13.796875" style="1" customWidth="1"/>
    <col min="11016" max="11016" width="14.898437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73.69921875" style="1" customWidth="1"/>
    <col min="11270" max="11270" width="20.09765625" style="1" customWidth="1"/>
    <col min="11271" max="11271" width="13.796875" style="1" customWidth="1"/>
    <col min="11272" max="11272" width="14.898437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73.69921875" style="1" customWidth="1"/>
    <col min="11526" max="11526" width="20.09765625" style="1" customWidth="1"/>
    <col min="11527" max="11527" width="13.796875" style="1" customWidth="1"/>
    <col min="11528" max="11528" width="14.898437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73.69921875" style="1" customWidth="1"/>
    <col min="11782" max="11782" width="20.09765625" style="1" customWidth="1"/>
    <col min="11783" max="11783" width="13.796875" style="1" customWidth="1"/>
    <col min="11784" max="11784" width="14.898437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73.69921875" style="1" customWidth="1"/>
    <col min="12038" max="12038" width="20.09765625" style="1" customWidth="1"/>
    <col min="12039" max="12039" width="13.796875" style="1" customWidth="1"/>
    <col min="12040" max="12040" width="14.898437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73.69921875" style="1" customWidth="1"/>
    <col min="12294" max="12294" width="20.09765625" style="1" customWidth="1"/>
    <col min="12295" max="12295" width="13.796875" style="1" customWidth="1"/>
    <col min="12296" max="12296" width="14.898437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73.69921875" style="1" customWidth="1"/>
    <col min="12550" max="12550" width="20.09765625" style="1" customWidth="1"/>
    <col min="12551" max="12551" width="13.796875" style="1" customWidth="1"/>
    <col min="12552" max="12552" width="14.898437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73.69921875" style="1" customWidth="1"/>
    <col min="12806" max="12806" width="20.09765625" style="1" customWidth="1"/>
    <col min="12807" max="12807" width="13.796875" style="1" customWidth="1"/>
    <col min="12808" max="12808" width="14.898437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73.69921875" style="1" customWidth="1"/>
    <col min="13062" max="13062" width="20.09765625" style="1" customWidth="1"/>
    <col min="13063" max="13063" width="13.796875" style="1" customWidth="1"/>
    <col min="13064" max="13064" width="14.898437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73.69921875" style="1" customWidth="1"/>
    <col min="13318" max="13318" width="20.09765625" style="1" customWidth="1"/>
    <col min="13319" max="13319" width="13.796875" style="1" customWidth="1"/>
    <col min="13320" max="13320" width="14.898437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73.69921875" style="1" customWidth="1"/>
    <col min="13574" max="13574" width="20.09765625" style="1" customWidth="1"/>
    <col min="13575" max="13575" width="13.796875" style="1" customWidth="1"/>
    <col min="13576" max="13576" width="14.898437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73.69921875" style="1" customWidth="1"/>
    <col min="13830" max="13830" width="20.09765625" style="1" customWidth="1"/>
    <col min="13831" max="13831" width="13.796875" style="1" customWidth="1"/>
    <col min="13832" max="13832" width="14.898437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73.69921875" style="1" customWidth="1"/>
    <col min="14086" max="14086" width="20.09765625" style="1" customWidth="1"/>
    <col min="14087" max="14087" width="13.796875" style="1" customWidth="1"/>
    <col min="14088" max="14088" width="14.898437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73.69921875" style="1" customWidth="1"/>
    <col min="14342" max="14342" width="20.09765625" style="1" customWidth="1"/>
    <col min="14343" max="14343" width="13.796875" style="1" customWidth="1"/>
    <col min="14344" max="14344" width="14.898437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73.69921875" style="1" customWidth="1"/>
    <col min="14598" max="14598" width="20.09765625" style="1" customWidth="1"/>
    <col min="14599" max="14599" width="13.796875" style="1" customWidth="1"/>
    <col min="14600" max="14600" width="14.898437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73.69921875" style="1" customWidth="1"/>
    <col min="14854" max="14854" width="20.09765625" style="1" customWidth="1"/>
    <col min="14855" max="14855" width="13.796875" style="1" customWidth="1"/>
    <col min="14856" max="14856" width="14.898437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73.69921875" style="1" customWidth="1"/>
    <col min="15110" max="15110" width="20.09765625" style="1" customWidth="1"/>
    <col min="15111" max="15111" width="13.796875" style="1" customWidth="1"/>
    <col min="15112" max="15112" width="14.898437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73.69921875" style="1" customWidth="1"/>
    <col min="15366" max="15366" width="20.09765625" style="1" customWidth="1"/>
    <col min="15367" max="15367" width="13.796875" style="1" customWidth="1"/>
    <col min="15368" max="15368" width="14.898437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73.69921875" style="1" customWidth="1"/>
    <col min="15622" max="15622" width="20.09765625" style="1" customWidth="1"/>
    <col min="15623" max="15623" width="13.796875" style="1" customWidth="1"/>
    <col min="15624" max="15624" width="14.898437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73.69921875" style="1" customWidth="1"/>
    <col min="15878" max="15878" width="20.09765625" style="1" customWidth="1"/>
    <col min="15879" max="15879" width="13.796875" style="1" customWidth="1"/>
    <col min="15880" max="15880" width="14.898437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73.69921875" style="1" customWidth="1"/>
    <col min="16134" max="16134" width="20.09765625" style="1" customWidth="1"/>
    <col min="16135" max="16135" width="13.796875" style="1" customWidth="1"/>
    <col min="16136" max="16136" width="14.898437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40.5" customHeight="1" x14ac:dyDescent="0.25">
      <c r="B3" s="5" t="s">
        <v>88</v>
      </c>
      <c r="C3" s="5" t="s">
        <v>65</v>
      </c>
      <c r="D3" s="5" t="s">
        <v>66</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08" x14ac:dyDescent="0.25">
      <c r="B8" s="7" t="s">
        <v>283</v>
      </c>
      <c r="C8" s="5" t="s">
        <v>284</v>
      </c>
      <c r="D8" s="8" t="s">
        <v>413</v>
      </c>
      <c r="E8" s="5"/>
      <c r="F8" s="5"/>
      <c r="G8" s="7"/>
      <c r="H8" s="7"/>
      <c r="I8" s="11"/>
      <c r="J8" s="7"/>
    </row>
    <row r="9" spans="1:10" ht="108" x14ac:dyDescent="0.25">
      <c r="B9" s="7" t="s">
        <v>283</v>
      </c>
      <c r="C9" s="5" t="s">
        <v>284</v>
      </c>
      <c r="D9" s="8" t="s">
        <v>414</v>
      </c>
      <c r="E9" s="5"/>
      <c r="F9" s="5"/>
      <c r="G9" s="7"/>
      <c r="H9" s="7"/>
      <c r="I9" s="11"/>
      <c r="J9" s="7"/>
    </row>
    <row r="10" spans="1:10" ht="42.6" customHeight="1" x14ac:dyDescent="0.25">
      <c r="B10" s="7" t="s">
        <v>24</v>
      </c>
      <c r="C10" s="5" t="s">
        <v>287</v>
      </c>
      <c r="D10" s="8" t="s">
        <v>288</v>
      </c>
      <c r="E10" s="5"/>
      <c r="F10" s="5"/>
      <c r="G10" s="7"/>
      <c r="H10" s="7"/>
      <c r="I10" s="11"/>
      <c r="J10" s="7"/>
    </row>
    <row r="11" spans="1:10" ht="127.2" customHeight="1" x14ac:dyDescent="0.25">
      <c r="B11" s="7" t="s">
        <v>289</v>
      </c>
      <c r="C11" s="7" t="s">
        <v>290</v>
      </c>
      <c r="D11" s="8" t="s">
        <v>415</v>
      </c>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B15" s="7"/>
      <c r="C15" s="7"/>
      <c r="D15" s="8"/>
      <c r="E15" s="5"/>
      <c r="F15" s="5"/>
      <c r="G15" s="7"/>
      <c r="H15" s="7"/>
      <c r="I15" s="11"/>
      <c r="J15" s="7"/>
    </row>
    <row r="16" spans="1:10" x14ac:dyDescent="0.25">
      <c r="E16" s="9"/>
      <c r="F16" s="9"/>
      <c r="G16" s="9"/>
      <c r="H16" s="9"/>
      <c r="I16" s="11"/>
      <c r="J16" s="9"/>
    </row>
    <row r="17" spans="2:10" ht="14.4" x14ac:dyDescent="0.25">
      <c r="B17" s="90" t="s">
        <v>118</v>
      </c>
      <c r="C17" s="91"/>
      <c r="D17" s="91"/>
      <c r="E17" s="9"/>
      <c r="F17" s="9"/>
      <c r="G17" s="9"/>
      <c r="H17" s="9"/>
      <c r="I17" s="11"/>
      <c r="J17" s="9"/>
    </row>
    <row r="18" spans="2:10" x14ac:dyDescent="0.25">
      <c r="B18" s="4" t="s">
        <v>119</v>
      </c>
      <c r="C18" s="4" t="s">
        <v>120</v>
      </c>
      <c r="D18" s="4" t="s">
        <v>121</v>
      </c>
    </row>
    <row r="19" spans="2:10" x14ac:dyDescent="0.25">
      <c r="B19" s="7" t="s">
        <v>122</v>
      </c>
      <c r="C19" s="7"/>
      <c r="D19" s="7"/>
    </row>
  </sheetData>
  <mergeCells count="3">
    <mergeCell ref="B1:E1"/>
    <mergeCell ref="B6:J6"/>
    <mergeCell ref="B17:D17"/>
  </mergeCells>
  <phoneticPr fontId="29" type="noConversion"/>
  <dataValidations count="2">
    <dataValidation type="list" allowBlank="1" showInputMessage="1" showErrorMessage="1" sqref="E3" xr:uid="{00000000-0002-0000-2300-000000000000}">
      <formula1>"通过,部分通过,不通过"</formula1>
    </dataValidation>
    <dataValidation type="list" allowBlank="1" showInputMessage="1" showErrorMessage="1" sqref="H8:H15 H65544:H65551 H131080:H131087 H196616:H196623 H262152:H262159 H327688:H327695 H393224:H393231 H458760:H458767 H524296:H524303 H589832:H589839 H655368:H655375 H720904:H720911 H786440:H786447 H851976:H851983 H917512:H917519 H983048:H983055 JE8:JE15 JE65544:JE65551 JE131080:JE131087 JE196616:JE196623 JE262152:JE262159 JE327688:JE327695 JE393224:JE393231 JE458760:JE458767 JE524296:JE524303 JE589832:JE589839 JE655368:JE655375 JE720904:JE720911 JE786440:JE786447 JE851976:JE851983 JE917512:JE917519 JE983048:JE983055 TA8:TA15 TA65544:TA65551 TA131080:TA131087 TA196616:TA196623 TA262152:TA262159 TA327688:TA327695 TA393224:TA393231 TA458760:TA458767 TA524296:TA524303 TA589832:TA589839 TA655368:TA655375 TA720904:TA720911 TA786440:TA786447 TA851976:TA851983 TA917512:TA917519 TA983048:TA983055 ACW8:ACW15 ACW65544:ACW65551 ACW131080:ACW131087 ACW196616:ACW196623 ACW262152:ACW262159 ACW327688:ACW327695 ACW393224:ACW393231 ACW458760:ACW458767 ACW524296:ACW524303 ACW589832:ACW589839 ACW655368:ACW655375 ACW720904:ACW720911 ACW786440:ACW786447 ACW851976:ACW851983 ACW917512:ACW917519 ACW983048:ACW983055 AMS8:AMS15 AMS65544:AMS65551 AMS131080:AMS131087 AMS196616:AMS196623 AMS262152:AMS262159 AMS327688:AMS327695 AMS393224:AMS393231 AMS458760:AMS458767 AMS524296:AMS524303 AMS589832:AMS589839 AMS655368:AMS655375 AMS720904:AMS720911 AMS786440:AMS786447 AMS851976:AMS851983 AMS917512:AMS917519 AMS983048:AMS983055 AWO8:AWO15 AWO65544:AWO65551 AWO131080:AWO131087 AWO196616:AWO196623 AWO262152:AWO262159 AWO327688:AWO327695 AWO393224:AWO393231 AWO458760:AWO458767 AWO524296:AWO524303 AWO589832:AWO589839 AWO655368:AWO655375 AWO720904:AWO720911 AWO786440:AWO786447 AWO851976:AWO851983 AWO917512:AWO917519 AWO983048:AWO983055 BGK8:BGK15 BGK65544:BGK65551 BGK131080:BGK131087 BGK196616:BGK196623 BGK262152:BGK262159 BGK327688:BGK327695 BGK393224:BGK393231 BGK458760:BGK458767 BGK524296:BGK524303 BGK589832:BGK589839 BGK655368:BGK655375 BGK720904:BGK720911 BGK786440:BGK786447 BGK851976:BGK851983 BGK917512:BGK917519 BGK983048:BGK983055 BQG8:BQG15 BQG65544:BQG65551 BQG131080:BQG131087 BQG196616:BQG196623 BQG262152:BQG262159 BQG327688:BQG327695 BQG393224:BQG393231 BQG458760:BQG458767 BQG524296:BQG524303 BQG589832:BQG589839 BQG655368:BQG655375 BQG720904:BQG720911 BQG786440:BQG786447 BQG851976:BQG851983 BQG917512:BQG917519 BQG983048:BQG983055 CAC8:CAC15 CAC65544:CAC65551 CAC131080:CAC131087 CAC196616:CAC196623 CAC262152:CAC262159 CAC327688:CAC327695 CAC393224:CAC393231 CAC458760:CAC458767 CAC524296:CAC524303 CAC589832:CAC589839 CAC655368:CAC655375 CAC720904:CAC720911 CAC786440:CAC786447 CAC851976:CAC851983 CAC917512:CAC917519 CAC983048:CAC983055 CJY8:CJY15 CJY65544:CJY65551 CJY131080:CJY131087 CJY196616:CJY196623 CJY262152:CJY262159 CJY327688:CJY327695 CJY393224:CJY393231 CJY458760:CJY458767 CJY524296:CJY524303 CJY589832:CJY589839 CJY655368:CJY655375 CJY720904:CJY720911 CJY786440:CJY786447 CJY851976:CJY851983 CJY917512:CJY917519 CJY983048:CJY983055 CTU8:CTU15 CTU65544:CTU65551 CTU131080:CTU131087 CTU196616:CTU196623 CTU262152:CTU262159 CTU327688:CTU327695 CTU393224:CTU393231 CTU458760:CTU458767 CTU524296:CTU524303 CTU589832:CTU589839 CTU655368:CTU655375 CTU720904:CTU720911 CTU786440:CTU786447 CTU851976:CTU851983 CTU917512:CTU917519 CTU983048:CTU983055 DDQ8:DDQ15 DDQ65544:DDQ65551 DDQ131080:DDQ131087 DDQ196616:DDQ196623 DDQ262152:DDQ262159 DDQ327688:DDQ327695 DDQ393224:DDQ393231 DDQ458760:DDQ458767 DDQ524296:DDQ524303 DDQ589832:DDQ589839 DDQ655368:DDQ655375 DDQ720904:DDQ720911 DDQ786440:DDQ786447 DDQ851976:DDQ851983 DDQ917512:DDQ917519 DDQ983048:DDQ983055 DNM8:DNM15 DNM65544:DNM65551 DNM131080:DNM131087 DNM196616:DNM196623 DNM262152:DNM262159 DNM327688:DNM327695 DNM393224:DNM393231 DNM458760:DNM458767 DNM524296:DNM524303 DNM589832:DNM589839 DNM655368:DNM655375 DNM720904:DNM720911 DNM786440:DNM786447 DNM851976:DNM851983 DNM917512:DNM917519 DNM983048:DNM983055 DXI8:DXI15 DXI65544:DXI65551 DXI131080:DXI131087 DXI196616:DXI196623 DXI262152:DXI262159 DXI327688:DXI327695 DXI393224:DXI393231 DXI458760:DXI458767 DXI524296:DXI524303 DXI589832:DXI589839 DXI655368:DXI655375 DXI720904:DXI720911 DXI786440:DXI786447 DXI851976:DXI851983 DXI917512:DXI917519 DXI983048:DXI983055 EHE8:EHE15 EHE65544:EHE65551 EHE131080:EHE131087 EHE196616:EHE196623 EHE262152:EHE262159 EHE327688:EHE327695 EHE393224:EHE393231 EHE458760:EHE458767 EHE524296:EHE524303 EHE589832:EHE589839 EHE655368:EHE655375 EHE720904:EHE720911 EHE786440:EHE786447 EHE851976:EHE851983 EHE917512:EHE917519 EHE983048:EHE983055 ERA8:ERA15 ERA65544:ERA65551 ERA131080:ERA131087 ERA196616:ERA196623 ERA262152:ERA262159 ERA327688:ERA327695 ERA393224:ERA393231 ERA458760:ERA458767 ERA524296:ERA524303 ERA589832:ERA589839 ERA655368:ERA655375 ERA720904:ERA720911 ERA786440:ERA786447 ERA851976:ERA851983 ERA917512:ERA917519 ERA983048:ERA983055 FAW8:FAW15 FAW65544:FAW65551 FAW131080:FAW131087 FAW196616:FAW196623 FAW262152:FAW262159 FAW327688:FAW327695 FAW393224:FAW393231 FAW458760:FAW458767 FAW524296:FAW524303 FAW589832:FAW589839 FAW655368:FAW655375 FAW720904:FAW720911 FAW786440:FAW786447 FAW851976:FAW851983 FAW917512:FAW917519 FAW983048:FAW983055 FKS8:FKS15 FKS65544:FKS65551 FKS131080:FKS131087 FKS196616:FKS196623 FKS262152:FKS262159 FKS327688:FKS327695 FKS393224:FKS393231 FKS458760:FKS458767 FKS524296:FKS524303 FKS589832:FKS589839 FKS655368:FKS655375 FKS720904:FKS720911 FKS786440:FKS786447 FKS851976:FKS851983 FKS917512:FKS917519 FKS983048:FKS983055 FUO8:FUO15 FUO65544:FUO65551 FUO131080:FUO131087 FUO196616:FUO196623 FUO262152:FUO262159 FUO327688:FUO327695 FUO393224:FUO393231 FUO458760:FUO458767 FUO524296:FUO524303 FUO589832:FUO589839 FUO655368:FUO655375 FUO720904:FUO720911 FUO786440:FUO786447 FUO851976:FUO851983 FUO917512:FUO917519 FUO983048:FUO983055 GEK8:GEK15 GEK65544:GEK65551 GEK131080:GEK131087 GEK196616:GEK196623 GEK262152:GEK262159 GEK327688:GEK327695 GEK393224:GEK393231 GEK458760:GEK458767 GEK524296:GEK524303 GEK589832:GEK589839 GEK655368:GEK655375 GEK720904:GEK720911 GEK786440:GEK786447 GEK851976:GEK851983 GEK917512:GEK917519 GEK983048:GEK983055 GOG8:GOG15 GOG65544:GOG65551 GOG131080:GOG131087 GOG196616:GOG196623 GOG262152:GOG262159 GOG327688:GOG327695 GOG393224:GOG393231 GOG458760:GOG458767 GOG524296:GOG524303 GOG589832:GOG589839 GOG655368:GOG655375 GOG720904:GOG720911 GOG786440:GOG786447 GOG851976:GOG851983 GOG917512:GOG917519 GOG983048:GOG983055 GYC8:GYC15 GYC65544:GYC65551 GYC131080:GYC131087 GYC196616:GYC196623 GYC262152:GYC262159 GYC327688:GYC327695 GYC393224:GYC393231 GYC458760:GYC458767 GYC524296:GYC524303 GYC589832:GYC589839 GYC655368:GYC655375 GYC720904:GYC720911 GYC786440:GYC786447 GYC851976:GYC851983 GYC917512:GYC917519 GYC983048:GYC983055 HHY8:HHY15 HHY65544:HHY65551 HHY131080:HHY131087 HHY196616:HHY196623 HHY262152:HHY262159 HHY327688:HHY327695 HHY393224:HHY393231 HHY458760:HHY458767 HHY524296:HHY524303 HHY589832:HHY589839 HHY655368:HHY655375 HHY720904:HHY720911 HHY786440:HHY786447 HHY851976:HHY851983 HHY917512:HHY917519 HHY983048:HHY983055 HRU8:HRU15 HRU65544:HRU65551 HRU131080:HRU131087 HRU196616:HRU196623 HRU262152:HRU262159 HRU327688:HRU327695 HRU393224:HRU393231 HRU458760:HRU458767 HRU524296:HRU524303 HRU589832:HRU589839 HRU655368:HRU655375 HRU720904:HRU720911 HRU786440:HRU786447 HRU851976:HRU851983 HRU917512:HRU917519 HRU983048:HRU983055 IBQ8:IBQ15 IBQ65544:IBQ65551 IBQ131080:IBQ131087 IBQ196616:IBQ196623 IBQ262152:IBQ262159 IBQ327688:IBQ327695 IBQ393224:IBQ393231 IBQ458760:IBQ458767 IBQ524296:IBQ524303 IBQ589832:IBQ589839 IBQ655368:IBQ655375 IBQ720904:IBQ720911 IBQ786440:IBQ786447 IBQ851976:IBQ851983 IBQ917512:IBQ917519 IBQ983048:IBQ983055 ILM8:ILM15 ILM65544:ILM65551 ILM131080:ILM131087 ILM196616:ILM196623 ILM262152:ILM262159 ILM327688:ILM327695 ILM393224:ILM393231 ILM458760:ILM458767 ILM524296:ILM524303 ILM589832:ILM589839 ILM655368:ILM655375 ILM720904:ILM720911 ILM786440:ILM786447 ILM851976:ILM851983 ILM917512:ILM917519 ILM983048:ILM983055 IVI8:IVI15 IVI65544:IVI65551 IVI131080:IVI131087 IVI196616:IVI196623 IVI262152:IVI262159 IVI327688:IVI327695 IVI393224:IVI393231 IVI458760:IVI458767 IVI524296:IVI524303 IVI589832:IVI589839 IVI655368:IVI655375 IVI720904:IVI720911 IVI786440:IVI786447 IVI851976:IVI851983 IVI917512:IVI917519 IVI983048:IVI983055 JFE8:JFE15 JFE65544:JFE65551 JFE131080:JFE131087 JFE196616:JFE196623 JFE262152:JFE262159 JFE327688:JFE327695 JFE393224:JFE393231 JFE458760:JFE458767 JFE524296:JFE524303 JFE589832:JFE589839 JFE655368:JFE655375 JFE720904:JFE720911 JFE786440:JFE786447 JFE851976:JFE851983 JFE917512:JFE917519 JFE983048:JFE983055 JPA8:JPA15 JPA65544:JPA65551 JPA131080:JPA131087 JPA196616:JPA196623 JPA262152:JPA262159 JPA327688:JPA327695 JPA393224:JPA393231 JPA458760:JPA458767 JPA524296:JPA524303 JPA589832:JPA589839 JPA655368:JPA655375 JPA720904:JPA720911 JPA786440:JPA786447 JPA851976:JPA851983 JPA917512:JPA917519 JPA983048:JPA983055 JYW8:JYW15 JYW65544:JYW65551 JYW131080:JYW131087 JYW196616:JYW196623 JYW262152:JYW262159 JYW327688:JYW327695 JYW393224:JYW393231 JYW458760:JYW458767 JYW524296:JYW524303 JYW589832:JYW589839 JYW655368:JYW655375 JYW720904:JYW720911 JYW786440:JYW786447 JYW851976:JYW851983 JYW917512:JYW917519 JYW983048:JYW983055 KIS8:KIS15 KIS65544:KIS65551 KIS131080:KIS131087 KIS196616:KIS196623 KIS262152:KIS262159 KIS327688:KIS327695 KIS393224:KIS393231 KIS458760:KIS458767 KIS524296:KIS524303 KIS589832:KIS589839 KIS655368:KIS655375 KIS720904:KIS720911 KIS786440:KIS786447 KIS851976:KIS851983 KIS917512:KIS917519 KIS983048:KIS983055 KSO8:KSO15 KSO65544:KSO65551 KSO131080:KSO131087 KSO196616:KSO196623 KSO262152:KSO262159 KSO327688:KSO327695 KSO393224:KSO393231 KSO458760:KSO458767 KSO524296:KSO524303 KSO589832:KSO589839 KSO655368:KSO655375 KSO720904:KSO720911 KSO786440:KSO786447 KSO851976:KSO851983 KSO917512:KSO917519 KSO983048:KSO983055 LCK8:LCK15 LCK65544:LCK65551 LCK131080:LCK131087 LCK196616:LCK196623 LCK262152:LCK262159 LCK327688:LCK327695 LCK393224:LCK393231 LCK458760:LCK458767 LCK524296:LCK524303 LCK589832:LCK589839 LCK655368:LCK655375 LCK720904:LCK720911 LCK786440:LCK786447 LCK851976:LCK851983 LCK917512:LCK917519 LCK983048:LCK983055 LMG8:LMG15 LMG65544:LMG65551 LMG131080:LMG131087 LMG196616:LMG196623 LMG262152:LMG262159 LMG327688:LMG327695 LMG393224:LMG393231 LMG458760:LMG458767 LMG524296:LMG524303 LMG589832:LMG589839 LMG655368:LMG655375 LMG720904:LMG720911 LMG786440:LMG786447 LMG851976:LMG851983 LMG917512:LMG917519 LMG983048:LMG983055 LWC8:LWC15 LWC65544:LWC65551 LWC131080:LWC131087 LWC196616:LWC196623 LWC262152:LWC262159 LWC327688:LWC327695 LWC393224:LWC393231 LWC458760:LWC458767 LWC524296:LWC524303 LWC589832:LWC589839 LWC655368:LWC655375 LWC720904:LWC720911 LWC786440:LWC786447 LWC851976:LWC851983 LWC917512:LWC917519 LWC983048:LWC983055 MFY8:MFY15 MFY65544:MFY65551 MFY131080:MFY131087 MFY196616:MFY196623 MFY262152:MFY262159 MFY327688:MFY327695 MFY393224:MFY393231 MFY458760:MFY458767 MFY524296:MFY524303 MFY589832:MFY589839 MFY655368:MFY655375 MFY720904:MFY720911 MFY786440:MFY786447 MFY851976:MFY851983 MFY917512:MFY917519 MFY983048:MFY983055 MPU8:MPU15 MPU65544:MPU65551 MPU131080:MPU131087 MPU196616:MPU196623 MPU262152:MPU262159 MPU327688:MPU327695 MPU393224:MPU393231 MPU458760:MPU458767 MPU524296:MPU524303 MPU589832:MPU589839 MPU655368:MPU655375 MPU720904:MPU720911 MPU786440:MPU786447 MPU851976:MPU851983 MPU917512:MPU917519 MPU983048:MPU983055 MZQ8:MZQ15 MZQ65544:MZQ65551 MZQ131080:MZQ131087 MZQ196616:MZQ196623 MZQ262152:MZQ262159 MZQ327688:MZQ327695 MZQ393224:MZQ393231 MZQ458760:MZQ458767 MZQ524296:MZQ524303 MZQ589832:MZQ589839 MZQ655368:MZQ655375 MZQ720904:MZQ720911 MZQ786440:MZQ786447 MZQ851976:MZQ851983 MZQ917512:MZQ917519 MZQ983048:MZQ983055 NJM8:NJM15 NJM65544:NJM65551 NJM131080:NJM131087 NJM196616:NJM196623 NJM262152:NJM262159 NJM327688:NJM327695 NJM393224:NJM393231 NJM458760:NJM458767 NJM524296:NJM524303 NJM589832:NJM589839 NJM655368:NJM655375 NJM720904:NJM720911 NJM786440:NJM786447 NJM851976:NJM851983 NJM917512:NJM917519 NJM983048:NJM983055 NTI8:NTI15 NTI65544:NTI65551 NTI131080:NTI131087 NTI196616:NTI196623 NTI262152:NTI262159 NTI327688:NTI327695 NTI393224:NTI393231 NTI458760:NTI458767 NTI524296:NTI524303 NTI589832:NTI589839 NTI655368:NTI655375 NTI720904:NTI720911 NTI786440:NTI786447 NTI851976:NTI851983 NTI917512:NTI917519 NTI983048:NTI983055 ODE8:ODE15 ODE65544:ODE65551 ODE131080:ODE131087 ODE196616:ODE196623 ODE262152:ODE262159 ODE327688:ODE327695 ODE393224:ODE393231 ODE458760:ODE458767 ODE524296:ODE524303 ODE589832:ODE589839 ODE655368:ODE655375 ODE720904:ODE720911 ODE786440:ODE786447 ODE851976:ODE851983 ODE917512:ODE917519 ODE983048:ODE983055 ONA8:ONA15 ONA65544:ONA65551 ONA131080:ONA131087 ONA196616:ONA196623 ONA262152:ONA262159 ONA327688:ONA327695 ONA393224:ONA393231 ONA458760:ONA458767 ONA524296:ONA524303 ONA589832:ONA589839 ONA655368:ONA655375 ONA720904:ONA720911 ONA786440:ONA786447 ONA851976:ONA851983 ONA917512:ONA917519 ONA983048:ONA983055 OWW8:OWW15 OWW65544:OWW65551 OWW131080:OWW131087 OWW196616:OWW196623 OWW262152:OWW262159 OWW327688:OWW327695 OWW393224:OWW393231 OWW458760:OWW458767 OWW524296:OWW524303 OWW589832:OWW589839 OWW655368:OWW655375 OWW720904:OWW720911 OWW786440:OWW786447 OWW851976:OWW851983 OWW917512:OWW917519 OWW983048:OWW983055 PGS8:PGS15 PGS65544:PGS65551 PGS131080:PGS131087 PGS196616:PGS196623 PGS262152:PGS262159 PGS327688:PGS327695 PGS393224:PGS393231 PGS458760:PGS458767 PGS524296:PGS524303 PGS589832:PGS589839 PGS655368:PGS655375 PGS720904:PGS720911 PGS786440:PGS786447 PGS851976:PGS851983 PGS917512:PGS917519 PGS983048:PGS983055 PQO8:PQO15 PQO65544:PQO65551 PQO131080:PQO131087 PQO196616:PQO196623 PQO262152:PQO262159 PQO327688:PQO327695 PQO393224:PQO393231 PQO458760:PQO458767 PQO524296:PQO524303 PQO589832:PQO589839 PQO655368:PQO655375 PQO720904:PQO720911 PQO786440:PQO786447 PQO851976:PQO851983 PQO917512:PQO917519 PQO983048:PQO983055 QAK8:QAK15 QAK65544:QAK65551 QAK131080:QAK131087 QAK196616:QAK196623 QAK262152:QAK262159 QAK327688:QAK327695 QAK393224:QAK393231 QAK458760:QAK458767 QAK524296:QAK524303 QAK589832:QAK589839 QAK655368:QAK655375 QAK720904:QAK720911 QAK786440:QAK786447 QAK851976:QAK851983 QAK917512:QAK917519 QAK983048:QAK983055 QKG8:QKG15 QKG65544:QKG65551 QKG131080:QKG131087 QKG196616:QKG196623 QKG262152:QKG262159 QKG327688:QKG327695 QKG393224:QKG393231 QKG458760:QKG458767 QKG524296:QKG524303 QKG589832:QKG589839 QKG655368:QKG655375 QKG720904:QKG720911 QKG786440:QKG786447 QKG851976:QKG851983 QKG917512:QKG917519 QKG983048:QKG983055 QUC8:QUC15 QUC65544:QUC65551 QUC131080:QUC131087 QUC196616:QUC196623 QUC262152:QUC262159 QUC327688:QUC327695 QUC393224:QUC393231 QUC458760:QUC458767 QUC524296:QUC524303 QUC589832:QUC589839 QUC655368:QUC655375 QUC720904:QUC720911 QUC786440:QUC786447 QUC851976:QUC851983 QUC917512:QUC917519 QUC983048:QUC983055 RDY8:RDY15 RDY65544:RDY65551 RDY131080:RDY131087 RDY196616:RDY196623 RDY262152:RDY262159 RDY327688:RDY327695 RDY393224:RDY393231 RDY458760:RDY458767 RDY524296:RDY524303 RDY589832:RDY589839 RDY655368:RDY655375 RDY720904:RDY720911 RDY786440:RDY786447 RDY851976:RDY851983 RDY917512:RDY917519 RDY983048:RDY983055 RNU8:RNU15 RNU65544:RNU65551 RNU131080:RNU131087 RNU196616:RNU196623 RNU262152:RNU262159 RNU327688:RNU327695 RNU393224:RNU393231 RNU458760:RNU458767 RNU524296:RNU524303 RNU589832:RNU589839 RNU655368:RNU655375 RNU720904:RNU720911 RNU786440:RNU786447 RNU851976:RNU851983 RNU917512:RNU917519 RNU983048:RNU983055 RXQ8:RXQ15 RXQ65544:RXQ65551 RXQ131080:RXQ131087 RXQ196616:RXQ196623 RXQ262152:RXQ262159 RXQ327688:RXQ327695 RXQ393224:RXQ393231 RXQ458760:RXQ458767 RXQ524296:RXQ524303 RXQ589832:RXQ589839 RXQ655368:RXQ655375 RXQ720904:RXQ720911 RXQ786440:RXQ786447 RXQ851976:RXQ851983 RXQ917512:RXQ917519 RXQ983048:RXQ983055 SHM8:SHM15 SHM65544:SHM65551 SHM131080:SHM131087 SHM196616:SHM196623 SHM262152:SHM262159 SHM327688:SHM327695 SHM393224:SHM393231 SHM458760:SHM458767 SHM524296:SHM524303 SHM589832:SHM589839 SHM655368:SHM655375 SHM720904:SHM720911 SHM786440:SHM786447 SHM851976:SHM851983 SHM917512:SHM917519 SHM983048:SHM983055 SRI8:SRI15 SRI65544:SRI65551 SRI131080:SRI131087 SRI196616:SRI196623 SRI262152:SRI262159 SRI327688:SRI327695 SRI393224:SRI393231 SRI458760:SRI458767 SRI524296:SRI524303 SRI589832:SRI589839 SRI655368:SRI655375 SRI720904:SRI720911 SRI786440:SRI786447 SRI851976:SRI851983 SRI917512:SRI917519 SRI983048:SRI983055 TBE8:TBE15 TBE65544:TBE65551 TBE131080:TBE131087 TBE196616:TBE196623 TBE262152:TBE262159 TBE327688:TBE327695 TBE393224:TBE393231 TBE458760:TBE458767 TBE524296:TBE524303 TBE589832:TBE589839 TBE655368:TBE655375 TBE720904:TBE720911 TBE786440:TBE786447 TBE851976:TBE851983 TBE917512:TBE917519 TBE983048:TBE983055 TLA8:TLA15 TLA65544:TLA65551 TLA131080:TLA131087 TLA196616:TLA196623 TLA262152:TLA262159 TLA327688:TLA327695 TLA393224:TLA393231 TLA458760:TLA458767 TLA524296:TLA524303 TLA589832:TLA589839 TLA655368:TLA655375 TLA720904:TLA720911 TLA786440:TLA786447 TLA851976:TLA851983 TLA917512:TLA917519 TLA983048:TLA983055 TUW8:TUW15 TUW65544:TUW65551 TUW131080:TUW131087 TUW196616:TUW196623 TUW262152:TUW262159 TUW327688:TUW327695 TUW393224:TUW393231 TUW458760:TUW458767 TUW524296:TUW524303 TUW589832:TUW589839 TUW655368:TUW655375 TUW720904:TUW720911 TUW786440:TUW786447 TUW851976:TUW851983 TUW917512:TUW917519 TUW983048:TUW983055 UES8:UES15 UES65544:UES65551 UES131080:UES131087 UES196616:UES196623 UES262152:UES262159 UES327688:UES327695 UES393224:UES393231 UES458760:UES458767 UES524296:UES524303 UES589832:UES589839 UES655368:UES655375 UES720904:UES720911 UES786440:UES786447 UES851976:UES851983 UES917512:UES917519 UES983048:UES983055 UOO8:UOO15 UOO65544:UOO65551 UOO131080:UOO131087 UOO196616:UOO196623 UOO262152:UOO262159 UOO327688:UOO327695 UOO393224:UOO393231 UOO458760:UOO458767 UOO524296:UOO524303 UOO589832:UOO589839 UOO655368:UOO655375 UOO720904:UOO720911 UOO786440:UOO786447 UOO851976:UOO851983 UOO917512:UOO917519 UOO983048:UOO983055 UYK8:UYK15 UYK65544:UYK65551 UYK131080:UYK131087 UYK196616:UYK196623 UYK262152:UYK262159 UYK327688:UYK327695 UYK393224:UYK393231 UYK458760:UYK458767 UYK524296:UYK524303 UYK589832:UYK589839 UYK655368:UYK655375 UYK720904:UYK720911 UYK786440:UYK786447 UYK851976:UYK851983 UYK917512:UYK917519 UYK983048:UYK983055 VIG8:VIG15 VIG65544:VIG65551 VIG131080:VIG131087 VIG196616:VIG196623 VIG262152:VIG262159 VIG327688:VIG327695 VIG393224:VIG393231 VIG458760:VIG458767 VIG524296:VIG524303 VIG589832:VIG589839 VIG655368:VIG655375 VIG720904:VIG720911 VIG786440:VIG786447 VIG851976:VIG851983 VIG917512:VIG917519 VIG983048:VIG983055 VSC8:VSC15 VSC65544:VSC65551 VSC131080:VSC131087 VSC196616:VSC196623 VSC262152:VSC262159 VSC327688:VSC327695 VSC393224:VSC393231 VSC458760:VSC458767 VSC524296:VSC524303 VSC589832:VSC589839 VSC655368:VSC655375 VSC720904:VSC720911 VSC786440:VSC786447 VSC851976:VSC851983 VSC917512:VSC917519 VSC983048:VSC983055 WBY8:WBY15 WBY65544:WBY65551 WBY131080:WBY131087 WBY196616:WBY196623 WBY262152:WBY262159 WBY327688:WBY327695 WBY393224:WBY393231 WBY458760:WBY458767 WBY524296:WBY524303 WBY589832:WBY589839 WBY655368:WBY655375 WBY720904:WBY720911 WBY786440:WBY786447 WBY851976:WBY851983 WBY917512:WBY917519 WBY983048:WBY983055 WLU8:WLU15 WLU65544:WLU65551 WLU131080:WLU131087 WLU196616:WLU196623 WLU262152:WLU262159 WLU327688:WLU327695 WLU393224:WLU393231 WLU458760:WLU458767 WLU524296:WLU524303 WLU589832:WLU589839 WLU655368:WLU655375 WLU720904:WLU720911 WLU786440:WLU786447 WLU851976:WLU851983 WLU917512:WLU917519 WLU983048:WLU983055 WVQ8:WVQ15 WVQ65544:WVQ65551 WVQ131080:WVQ131087 WVQ196616:WVQ196623 WVQ262152:WVQ262159 WVQ327688:WVQ327695 WVQ393224:WVQ393231 WVQ458760:WVQ458767 WVQ524296:WVQ524303 WVQ589832:WVQ589839 WVQ655368:WVQ655375 WVQ720904:WVQ720911 WVQ786440:WVQ786447 WVQ851976:WVQ851983 WVQ917512:WVQ917519 WVQ983048:WVQ983055" xr:uid="{00000000-0002-0000-2300-000001000000}">
      <formula1>"正确,错误"</formula1>
    </dataValidation>
  </dataValidations>
  <hyperlinks>
    <hyperlink ref="A1" location="UAT测试案例清单!A1" display="返回" xr:uid="{00000000-0004-0000-23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J18"/>
  <sheetViews>
    <sheetView zoomScale="80" zoomScaleNormal="80" workbookViewId="0">
      <selection activeCell="H23" sqref="H23"/>
    </sheetView>
  </sheetViews>
  <sheetFormatPr defaultColWidth="9" defaultRowHeight="12" x14ac:dyDescent="0.25"/>
  <cols>
    <col min="1" max="1" width="6.59765625" style="1" customWidth="1"/>
    <col min="2" max="2" width="16.5" style="1" customWidth="1"/>
    <col min="3" max="3" width="15" style="1" customWidth="1"/>
    <col min="4" max="4" width="71.8984375" style="1" customWidth="1"/>
    <col min="5" max="5" width="20.09765625" style="1" customWidth="1"/>
    <col min="6" max="6" width="13.796875" style="1" customWidth="1"/>
    <col min="7" max="7" width="14.898437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6.5" style="1" customWidth="1"/>
    <col min="260" max="260" width="15" style="1" customWidth="1"/>
    <col min="261" max="261" width="71.8984375" style="1" customWidth="1"/>
    <col min="262" max="262" width="20.09765625" style="1" customWidth="1"/>
    <col min="263" max="263" width="13.796875" style="1" customWidth="1"/>
    <col min="264" max="264" width="14.8984375" style="1" customWidth="1"/>
    <col min="265" max="265" width="24.59765625" style="1" customWidth="1"/>
    <col min="266" max="266" width="17.8984375" style="1" customWidth="1"/>
    <col min="267" max="513" width="9" style="1"/>
    <col min="514" max="514" width="6.59765625" style="1" customWidth="1"/>
    <col min="515" max="515" width="16.5" style="1" customWidth="1"/>
    <col min="516" max="516" width="15" style="1" customWidth="1"/>
    <col min="517" max="517" width="71.8984375" style="1" customWidth="1"/>
    <col min="518" max="518" width="20.09765625" style="1" customWidth="1"/>
    <col min="519" max="519" width="13.796875" style="1" customWidth="1"/>
    <col min="520" max="520" width="14.8984375" style="1" customWidth="1"/>
    <col min="521" max="521" width="24.59765625" style="1" customWidth="1"/>
    <col min="522" max="522" width="17.8984375" style="1" customWidth="1"/>
    <col min="523" max="769" width="9" style="1"/>
    <col min="770" max="770" width="6.59765625" style="1" customWidth="1"/>
    <col min="771" max="771" width="16.5" style="1" customWidth="1"/>
    <col min="772" max="772" width="15" style="1" customWidth="1"/>
    <col min="773" max="773" width="71.8984375" style="1" customWidth="1"/>
    <col min="774" max="774" width="20.09765625" style="1" customWidth="1"/>
    <col min="775" max="775" width="13.796875" style="1" customWidth="1"/>
    <col min="776" max="776" width="14.8984375" style="1" customWidth="1"/>
    <col min="777" max="777" width="24.59765625" style="1" customWidth="1"/>
    <col min="778" max="778" width="17.8984375" style="1" customWidth="1"/>
    <col min="779" max="1025" width="9" style="1"/>
    <col min="1026" max="1026" width="6.59765625" style="1" customWidth="1"/>
    <col min="1027" max="1027" width="16.5" style="1" customWidth="1"/>
    <col min="1028" max="1028" width="15" style="1" customWidth="1"/>
    <col min="1029" max="1029" width="71.8984375" style="1" customWidth="1"/>
    <col min="1030" max="1030" width="20.09765625" style="1" customWidth="1"/>
    <col min="1031" max="1031" width="13.796875" style="1" customWidth="1"/>
    <col min="1032" max="1032" width="14.8984375" style="1" customWidth="1"/>
    <col min="1033" max="1033" width="24.59765625" style="1" customWidth="1"/>
    <col min="1034" max="1034" width="17.8984375" style="1" customWidth="1"/>
    <col min="1035" max="1281" width="9" style="1"/>
    <col min="1282" max="1282" width="6.59765625" style="1" customWidth="1"/>
    <col min="1283" max="1283" width="16.5" style="1" customWidth="1"/>
    <col min="1284" max="1284" width="15" style="1" customWidth="1"/>
    <col min="1285" max="1285" width="71.8984375" style="1" customWidth="1"/>
    <col min="1286" max="1286" width="20.09765625" style="1" customWidth="1"/>
    <col min="1287" max="1287" width="13.796875" style="1" customWidth="1"/>
    <col min="1288" max="1288" width="14.8984375" style="1" customWidth="1"/>
    <col min="1289" max="1289" width="24.59765625" style="1" customWidth="1"/>
    <col min="1290" max="1290" width="17.8984375" style="1" customWidth="1"/>
    <col min="1291" max="1537" width="9" style="1"/>
    <col min="1538" max="1538" width="6.59765625" style="1" customWidth="1"/>
    <col min="1539" max="1539" width="16.5" style="1" customWidth="1"/>
    <col min="1540" max="1540" width="15" style="1" customWidth="1"/>
    <col min="1541" max="1541" width="71.8984375" style="1" customWidth="1"/>
    <col min="1542" max="1542" width="20.09765625" style="1" customWidth="1"/>
    <col min="1543" max="1543" width="13.796875" style="1" customWidth="1"/>
    <col min="1544" max="1544" width="14.8984375" style="1" customWidth="1"/>
    <col min="1545" max="1545" width="24.59765625" style="1" customWidth="1"/>
    <col min="1546" max="1546" width="17.8984375" style="1" customWidth="1"/>
    <col min="1547" max="1793" width="9" style="1"/>
    <col min="1794" max="1794" width="6.59765625" style="1" customWidth="1"/>
    <col min="1795" max="1795" width="16.5" style="1" customWidth="1"/>
    <col min="1796" max="1796" width="15" style="1" customWidth="1"/>
    <col min="1797" max="1797" width="71.8984375" style="1" customWidth="1"/>
    <col min="1798" max="1798" width="20.09765625" style="1" customWidth="1"/>
    <col min="1799" max="1799" width="13.796875" style="1" customWidth="1"/>
    <col min="1800" max="1800" width="14.8984375" style="1" customWidth="1"/>
    <col min="1801" max="1801" width="24.59765625" style="1" customWidth="1"/>
    <col min="1802" max="1802" width="17.8984375" style="1" customWidth="1"/>
    <col min="1803" max="2049" width="9" style="1"/>
    <col min="2050" max="2050" width="6.59765625" style="1" customWidth="1"/>
    <col min="2051" max="2051" width="16.5" style="1" customWidth="1"/>
    <col min="2052" max="2052" width="15" style="1" customWidth="1"/>
    <col min="2053" max="2053" width="71.8984375" style="1" customWidth="1"/>
    <col min="2054" max="2054" width="20.09765625" style="1" customWidth="1"/>
    <col min="2055" max="2055" width="13.796875" style="1" customWidth="1"/>
    <col min="2056" max="2056" width="14.8984375" style="1" customWidth="1"/>
    <col min="2057" max="2057" width="24.59765625" style="1" customWidth="1"/>
    <col min="2058" max="2058" width="17.8984375" style="1" customWidth="1"/>
    <col min="2059" max="2305" width="9" style="1"/>
    <col min="2306" max="2306" width="6.59765625" style="1" customWidth="1"/>
    <col min="2307" max="2307" width="16.5" style="1" customWidth="1"/>
    <col min="2308" max="2308" width="15" style="1" customWidth="1"/>
    <col min="2309" max="2309" width="71.8984375" style="1" customWidth="1"/>
    <col min="2310" max="2310" width="20.09765625" style="1" customWidth="1"/>
    <col min="2311" max="2311" width="13.796875" style="1" customWidth="1"/>
    <col min="2312" max="2312" width="14.8984375" style="1" customWidth="1"/>
    <col min="2313" max="2313" width="24.59765625" style="1" customWidth="1"/>
    <col min="2314" max="2314" width="17.8984375" style="1" customWidth="1"/>
    <col min="2315" max="2561" width="9" style="1"/>
    <col min="2562" max="2562" width="6.59765625" style="1" customWidth="1"/>
    <col min="2563" max="2563" width="16.5" style="1" customWidth="1"/>
    <col min="2564" max="2564" width="15" style="1" customWidth="1"/>
    <col min="2565" max="2565" width="71.8984375" style="1" customWidth="1"/>
    <col min="2566" max="2566" width="20.09765625" style="1" customWidth="1"/>
    <col min="2567" max="2567" width="13.796875" style="1" customWidth="1"/>
    <col min="2568" max="2568" width="14.8984375" style="1" customWidth="1"/>
    <col min="2569" max="2569" width="24.59765625" style="1" customWidth="1"/>
    <col min="2570" max="2570" width="17.8984375" style="1" customWidth="1"/>
    <col min="2571" max="2817" width="9" style="1"/>
    <col min="2818" max="2818" width="6.59765625" style="1" customWidth="1"/>
    <col min="2819" max="2819" width="16.5" style="1" customWidth="1"/>
    <col min="2820" max="2820" width="15" style="1" customWidth="1"/>
    <col min="2821" max="2821" width="71.8984375" style="1" customWidth="1"/>
    <col min="2822" max="2822" width="20.09765625" style="1" customWidth="1"/>
    <col min="2823" max="2823" width="13.796875" style="1" customWidth="1"/>
    <col min="2824" max="2824" width="14.8984375" style="1" customWidth="1"/>
    <col min="2825" max="2825" width="24.59765625" style="1" customWidth="1"/>
    <col min="2826" max="2826" width="17.8984375" style="1" customWidth="1"/>
    <col min="2827" max="3073" width="9" style="1"/>
    <col min="3074" max="3074" width="6.59765625" style="1" customWidth="1"/>
    <col min="3075" max="3075" width="16.5" style="1" customWidth="1"/>
    <col min="3076" max="3076" width="15" style="1" customWidth="1"/>
    <col min="3077" max="3077" width="71.8984375" style="1" customWidth="1"/>
    <col min="3078" max="3078" width="20.09765625" style="1" customWidth="1"/>
    <col min="3079" max="3079" width="13.796875" style="1" customWidth="1"/>
    <col min="3080" max="3080" width="14.8984375" style="1" customWidth="1"/>
    <col min="3081" max="3081" width="24.59765625" style="1" customWidth="1"/>
    <col min="3082" max="3082" width="17.8984375" style="1" customWidth="1"/>
    <col min="3083" max="3329" width="9" style="1"/>
    <col min="3330" max="3330" width="6.59765625" style="1" customWidth="1"/>
    <col min="3331" max="3331" width="16.5" style="1" customWidth="1"/>
    <col min="3332" max="3332" width="15" style="1" customWidth="1"/>
    <col min="3333" max="3333" width="71.8984375" style="1" customWidth="1"/>
    <col min="3334" max="3334" width="20.09765625" style="1" customWidth="1"/>
    <col min="3335" max="3335" width="13.796875" style="1" customWidth="1"/>
    <col min="3336" max="3336" width="14.8984375" style="1" customWidth="1"/>
    <col min="3337" max="3337" width="24.59765625" style="1" customWidth="1"/>
    <col min="3338" max="3338" width="17.8984375" style="1" customWidth="1"/>
    <col min="3339" max="3585" width="9" style="1"/>
    <col min="3586" max="3586" width="6.59765625" style="1" customWidth="1"/>
    <col min="3587" max="3587" width="16.5" style="1" customWidth="1"/>
    <col min="3588" max="3588" width="15" style="1" customWidth="1"/>
    <col min="3589" max="3589" width="71.8984375" style="1" customWidth="1"/>
    <col min="3590" max="3590" width="20.09765625" style="1" customWidth="1"/>
    <col min="3591" max="3591" width="13.796875" style="1" customWidth="1"/>
    <col min="3592" max="3592" width="14.8984375" style="1" customWidth="1"/>
    <col min="3593" max="3593" width="24.59765625" style="1" customWidth="1"/>
    <col min="3594" max="3594" width="17.8984375" style="1" customWidth="1"/>
    <col min="3595" max="3841" width="9" style="1"/>
    <col min="3842" max="3842" width="6.59765625" style="1" customWidth="1"/>
    <col min="3843" max="3843" width="16.5" style="1" customWidth="1"/>
    <col min="3844" max="3844" width="15" style="1" customWidth="1"/>
    <col min="3845" max="3845" width="71.8984375" style="1" customWidth="1"/>
    <col min="3846" max="3846" width="20.09765625" style="1" customWidth="1"/>
    <col min="3847" max="3847" width="13.796875" style="1" customWidth="1"/>
    <col min="3848" max="3848" width="14.8984375" style="1" customWidth="1"/>
    <col min="3849" max="3849" width="24.59765625" style="1" customWidth="1"/>
    <col min="3850" max="3850" width="17.8984375" style="1" customWidth="1"/>
    <col min="3851" max="4097" width="9" style="1"/>
    <col min="4098" max="4098" width="6.59765625" style="1" customWidth="1"/>
    <col min="4099" max="4099" width="16.5" style="1" customWidth="1"/>
    <col min="4100" max="4100" width="15" style="1" customWidth="1"/>
    <col min="4101" max="4101" width="71.8984375" style="1" customWidth="1"/>
    <col min="4102" max="4102" width="20.09765625" style="1" customWidth="1"/>
    <col min="4103" max="4103" width="13.796875" style="1" customWidth="1"/>
    <col min="4104" max="4104" width="14.8984375" style="1" customWidth="1"/>
    <col min="4105" max="4105" width="24.59765625" style="1" customWidth="1"/>
    <col min="4106" max="4106" width="17.8984375" style="1" customWidth="1"/>
    <col min="4107" max="4353" width="9" style="1"/>
    <col min="4354" max="4354" width="6.59765625" style="1" customWidth="1"/>
    <col min="4355" max="4355" width="16.5" style="1" customWidth="1"/>
    <col min="4356" max="4356" width="15" style="1" customWidth="1"/>
    <col min="4357" max="4357" width="71.8984375" style="1" customWidth="1"/>
    <col min="4358" max="4358" width="20.09765625" style="1" customWidth="1"/>
    <col min="4359" max="4359" width="13.796875" style="1" customWidth="1"/>
    <col min="4360" max="4360" width="14.8984375" style="1" customWidth="1"/>
    <col min="4361" max="4361" width="24.59765625" style="1" customWidth="1"/>
    <col min="4362" max="4362" width="17.8984375" style="1" customWidth="1"/>
    <col min="4363" max="4609" width="9" style="1"/>
    <col min="4610" max="4610" width="6.59765625" style="1" customWidth="1"/>
    <col min="4611" max="4611" width="16.5" style="1" customWidth="1"/>
    <col min="4612" max="4612" width="15" style="1" customWidth="1"/>
    <col min="4613" max="4613" width="71.8984375" style="1" customWidth="1"/>
    <col min="4614" max="4614" width="20.09765625" style="1" customWidth="1"/>
    <col min="4615" max="4615" width="13.796875" style="1" customWidth="1"/>
    <col min="4616" max="4616" width="14.8984375" style="1" customWidth="1"/>
    <col min="4617" max="4617" width="24.59765625" style="1" customWidth="1"/>
    <col min="4618" max="4618" width="17.8984375" style="1" customWidth="1"/>
    <col min="4619" max="4865" width="9" style="1"/>
    <col min="4866" max="4866" width="6.59765625" style="1" customWidth="1"/>
    <col min="4867" max="4867" width="16.5" style="1" customWidth="1"/>
    <col min="4868" max="4868" width="15" style="1" customWidth="1"/>
    <col min="4869" max="4869" width="71.8984375" style="1" customWidth="1"/>
    <col min="4870" max="4870" width="20.09765625" style="1" customWidth="1"/>
    <col min="4871" max="4871" width="13.796875" style="1" customWidth="1"/>
    <col min="4872" max="4872" width="14.8984375" style="1" customWidth="1"/>
    <col min="4873" max="4873" width="24.59765625" style="1" customWidth="1"/>
    <col min="4874" max="4874" width="17.8984375" style="1" customWidth="1"/>
    <col min="4875" max="5121" width="9" style="1"/>
    <col min="5122" max="5122" width="6.59765625" style="1" customWidth="1"/>
    <col min="5123" max="5123" width="16.5" style="1" customWidth="1"/>
    <col min="5124" max="5124" width="15" style="1" customWidth="1"/>
    <col min="5125" max="5125" width="71.8984375" style="1" customWidth="1"/>
    <col min="5126" max="5126" width="20.09765625" style="1" customWidth="1"/>
    <col min="5127" max="5127" width="13.796875" style="1" customWidth="1"/>
    <col min="5128" max="5128" width="14.8984375" style="1" customWidth="1"/>
    <col min="5129" max="5129" width="24.59765625" style="1" customWidth="1"/>
    <col min="5130" max="5130" width="17.8984375" style="1" customWidth="1"/>
    <col min="5131" max="5377" width="9" style="1"/>
    <col min="5378" max="5378" width="6.59765625" style="1" customWidth="1"/>
    <col min="5379" max="5379" width="16.5" style="1" customWidth="1"/>
    <col min="5380" max="5380" width="15" style="1" customWidth="1"/>
    <col min="5381" max="5381" width="71.8984375" style="1" customWidth="1"/>
    <col min="5382" max="5382" width="20.09765625" style="1" customWidth="1"/>
    <col min="5383" max="5383" width="13.796875" style="1" customWidth="1"/>
    <col min="5384" max="5384" width="14.8984375" style="1" customWidth="1"/>
    <col min="5385" max="5385" width="24.59765625" style="1" customWidth="1"/>
    <col min="5386" max="5386" width="17.8984375" style="1" customWidth="1"/>
    <col min="5387" max="5633" width="9" style="1"/>
    <col min="5634" max="5634" width="6.59765625" style="1" customWidth="1"/>
    <col min="5635" max="5635" width="16.5" style="1" customWidth="1"/>
    <col min="5636" max="5636" width="15" style="1" customWidth="1"/>
    <col min="5637" max="5637" width="71.8984375" style="1" customWidth="1"/>
    <col min="5638" max="5638" width="20.09765625" style="1" customWidth="1"/>
    <col min="5639" max="5639" width="13.796875" style="1" customWidth="1"/>
    <col min="5640" max="5640" width="14.8984375" style="1" customWidth="1"/>
    <col min="5641" max="5641" width="24.59765625" style="1" customWidth="1"/>
    <col min="5642" max="5642" width="17.8984375" style="1" customWidth="1"/>
    <col min="5643" max="5889" width="9" style="1"/>
    <col min="5890" max="5890" width="6.59765625" style="1" customWidth="1"/>
    <col min="5891" max="5891" width="16.5" style="1" customWidth="1"/>
    <col min="5892" max="5892" width="15" style="1" customWidth="1"/>
    <col min="5893" max="5893" width="71.8984375" style="1" customWidth="1"/>
    <col min="5894" max="5894" width="20.09765625" style="1" customWidth="1"/>
    <col min="5895" max="5895" width="13.796875" style="1" customWidth="1"/>
    <col min="5896" max="5896" width="14.8984375" style="1" customWidth="1"/>
    <col min="5897" max="5897" width="24.59765625" style="1" customWidth="1"/>
    <col min="5898" max="5898" width="17.8984375" style="1" customWidth="1"/>
    <col min="5899" max="6145" width="9" style="1"/>
    <col min="6146" max="6146" width="6.59765625" style="1" customWidth="1"/>
    <col min="6147" max="6147" width="16.5" style="1" customWidth="1"/>
    <col min="6148" max="6148" width="15" style="1" customWidth="1"/>
    <col min="6149" max="6149" width="71.8984375" style="1" customWidth="1"/>
    <col min="6150" max="6150" width="20.09765625" style="1" customWidth="1"/>
    <col min="6151" max="6151" width="13.796875" style="1" customWidth="1"/>
    <col min="6152" max="6152" width="14.8984375" style="1" customWidth="1"/>
    <col min="6153" max="6153" width="24.59765625" style="1" customWidth="1"/>
    <col min="6154" max="6154" width="17.8984375" style="1" customWidth="1"/>
    <col min="6155" max="6401" width="9" style="1"/>
    <col min="6402" max="6402" width="6.59765625" style="1" customWidth="1"/>
    <col min="6403" max="6403" width="16.5" style="1" customWidth="1"/>
    <col min="6404" max="6404" width="15" style="1" customWidth="1"/>
    <col min="6405" max="6405" width="71.8984375" style="1" customWidth="1"/>
    <col min="6406" max="6406" width="20.09765625" style="1" customWidth="1"/>
    <col min="6407" max="6407" width="13.796875" style="1" customWidth="1"/>
    <col min="6408" max="6408" width="14.8984375" style="1" customWidth="1"/>
    <col min="6409" max="6409" width="24.59765625" style="1" customWidth="1"/>
    <col min="6410" max="6410" width="17.8984375" style="1" customWidth="1"/>
    <col min="6411" max="6657" width="9" style="1"/>
    <col min="6658" max="6658" width="6.59765625" style="1" customWidth="1"/>
    <col min="6659" max="6659" width="16.5" style="1" customWidth="1"/>
    <col min="6660" max="6660" width="15" style="1" customWidth="1"/>
    <col min="6661" max="6661" width="71.8984375" style="1" customWidth="1"/>
    <col min="6662" max="6662" width="20.09765625" style="1" customWidth="1"/>
    <col min="6663" max="6663" width="13.796875" style="1" customWidth="1"/>
    <col min="6664" max="6664" width="14.8984375" style="1" customWidth="1"/>
    <col min="6665" max="6665" width="24.59765625" style="1" customWidth="1"/>
    <col min="6666" max="6666" width="17.8984375" style="1" customWidth="1"/>
    <col min="6667" max="6913" width="9" style="1"/>
    <col min="6914" max="6914" width="6.59765625" style="1" customWidth="1"/>
    <col min="6915" max="6915" width="16.5" style="1" customWidth="1"/>
    <col min="6916" max="6916" width="15" style="1" customWidth="1"/>
    <col min="6917" max="6917" width="71.8984375" style="1" customWidth="1"/>
    <col min="6918" max="6918" width="20.09765625" style="1" customWidth="1"/>
    <col min="6919" max="6919" width="13.796875" style="1" customWidth="1"/>
    <col min="6920" max="6920" width="14.8984375" style="1" customWidth="1"/>
    <col min="6921" max="6921" width="24.59765625" style="1" customWidth="1"/>
    <col min="6922" max="6922" width="17.8984375" style="1" customWidth="1"/>
    <col min="6923" max="7169" width="9" style="1"/>
    <col min="7170" max="7170" width="6.59765625" style="1" customWidth="1"/>
    <col min="7171" max="7171" width="16.5" style="1" customWidth="1"/>
    <col min="7172" max="7172" width="15" style="1" customWidth="1"/>
    <col min="7173" max="7173" width="71.8984375" style="1" customWidth="1"/>
    <col min="7174" max="7174" width="20.09765625" style="1" customWidth="1"/>
    <col min="7175" max="7175" width="13.796875" style="1" customWidth="1"/>
    <col min="7176" max="7176" width="14.8984375" style="1" customWidth="1"/>
    <col min="7177" max="7177" width="24.59765625" style="1" customWidth="1"/>
    <col min="7178" max="7178" width="17.8984375" style="1" customWidth="1"/>
    <col min="7179" max="7425" width="9" style="1"/>
    <col min="7426" max="7426" width="6.59765625" style="1" customWidth="1"/>
    <col min="7427" max="7427" width="16.5" style="1" customWidth="1"/>
    <col min="7428" max="7428" width="15" style="1" customWidth="1"/>
    <col min="7429" max="7429" width="71.8984375" style="1" customWidth="1"/>
    <col min="7430" max="7430" width="20.09765625" style="1" customWidth="1"/>
    <col min="7431" max="7431" width="13.796875" style="1" customWidth="1"/>
    <col min="7432" max="7432" width="14.8984375" style="1" customWidth="1"/>
    <col min="7433" max="7433" width="24.59765625" style="1" customWidth="1"/>
    <col min="7434" max="7434" width="17.8984375" style="1" customWidth="1"/>
    <col min="7435" max="7681" width="9" style="1"/>
    <col min="7682" max="7682" width="6.59765625" style="1" customWidth="1"/>
    <col min="7683" max="7683" width="16.5" style="1" customWidth="1"/>
    <col min="7684" max="7684" width="15" style="1" customWidth="1"/>
    <col min="7685" max="7685" width="71.8984375" style="1" customWidth="1"/>
    <col min="7686" max="7686" width="20.09765625" style="1" customWidth="1"/>
    <col min="7687" max="7687" width="13.796875" style="1" customWidth="1"/>
    <col min="7688" max="7688" width="14.8984375" style="1" customWidth="1"/>
    <col min="7689" max="7689" width="24.59765625" style="1" customWidth="1"/>
    <col min="7690" max="7690" width="17.8984375" style="1" customWidth="1"/>
    <col min="7691" max="7937" width="9" style="1"/>
    <col min="7938" max="7938" width="6.59765625" style="1" customWidth="1"/>
    <col min="7939" max="7939" width="16.5" style="1" customWidth="1"/>
    <col min="7940" max="7940" width="15" style="1" customWidth="1"/>
    <col min="7941" max="7941" width="71.8984375" style="1" customWidth="1"/>
    <col min="7942" max="7942" width="20.09765625" style="1" customWidth="1"/>
    <col min="7943" max="7943" width="13.796875" style="1" customWidth="1"/>
    <col min="7944" max="7944" width="14.8984375" style="1" customWidth="1"/>
    <col min="7945" max="7945" width="24.59765625" style="1" customWidth="1"/>
    <col min="7946" max="7946" width="17.8984375" style="1" customWidth="1"/>
    <col min="7947" max="8193" width="9" style="1"/>
    <col min="8194" max="8194" width="6.59765625" style="1" customWidth="1"/>
    <col min="8195" max="8195" width="16.5" style="1" customWidth="1"/>
    <col min="8196" max="8196" width="15" style="1" customWidth="1"/>
    <col min="8197" max="8197" width="71.8984375" style="1" customWidth="1"/>
    <col min="8198" max="8198" width="20.09765625" style="1" customWidth="1"/>
    <col min="8199" max="8199" width="13.796875" style="1" customWidth="1"/>
    <col min="8200" max="8200" width="14.8984375" style="1" customWidth="1"/>
    <col min="8201" max="8201" width="24.59765625" style="1" customWidth="1"/>
    <col min="8202" max="8202" width="17.8984375" style="1" customWidth="1"/>
    <col min="8203" max="8449" width="9" style="1"/>
    <col min="8450" max="8450" width="6.59765625" style="1" customWidth="1"/>
    <col min="8451" max="8451" width="16.5" style="1" customWidth="1"/>
    <col min="8452" max="8452" width="15" style="1" customWidth="1"/>
    <col min="8453" max="8453" width="71.8984375" style="1" customWidth="1"/>
    <col min="8454" max="8454" width="20.09765625" style="1" customWidth="1"/>
    <col min="8455" max="8455" width="13.796875" style="1" customWidth="1"/>
    <col min="8456" max="8456" width="14.8984375" style="1" customWidth="1"/>
    <col min="8457" max="8457" width="24.59765625" style="1" customWidth="1"/>
    <col min="8458" max="8458" width="17.8984375" style="1" customWidth="1"/>
    <col min="8459" max="8705" width="9" style="1"/>
    <col min="8706" max="8706" width="6.59765625" style="1" customWidth="1"/>
    <col min="8707" max="8707" width="16.5" style="1" customWidth="1"/>
    <col min="8708" max="8708" width="15" style="1" customWidth="1"/>
    <col min="8709" max="8709" width="71.8984375" style="1" customWidth="1"/>
    <col min="8710" max="8710" width="20.09765625" style="1" customWidth="1"/>
    <col min="8711" max="8711" width="13.796875" style="1" customWidth="1"/>
    <col min="8712" max="8712" width="14.8984375" style="1" customWidth="1"/>
    <col min="8713" max="8713" width="24.59765625" style="1" customWidth="1"/>
    <col min="8714" max="8714" width="17.8984375" style="1" customWidth="1"/>
    <col min="8715" max="8961" width="9" style="1"/>
    <col min="8962" max="8962" width="6.59765625" style="1" customWidth="1"/>
    <col min="8963" max="8963" width="16.5" style="1" customWidth="1"/>
    <col min="8964" max="8964" width="15" style="1" customWidth="1"/>
    <col min="8965" max="8965" width="71.8984375" style="1" customWidth="1"/>
    <col min="8966" max="8966" width="20.09765625" style="1" customWidth="1"/>
    <col min="8967" max="8967" width="13.796875" style="1" customWidth="1"/>
    <col min="8968" max="8968" width="14.8984375" style="1" customWidth="1"/>
    <col min="8969" max="8969" width="24.59765625" style="1" customWidth="1"/>
    <col min="8970" max="8970" width="17.8984375" style="1" customWidth="1"/>
    <col min="8971" max="9217" width="9" style="1"/>
    <col min="9218" max="9218" width="6.59765625" style="1" customWidth="1"/>
    <col min="9219" max="9219" width="16.5" style="1" customWidth="1"/>
    <col min="9220" max="9220" width="15" style="1" customWidth="1"/>
    <col min="9221" max="9221" width="71.8984375" style="1" customWidth="1"/>
    <col min="9222" max="9222" width="20.09765625" style="1" customWidth="1"/>
    <col min="9223" max="9223" width="13.796875" style="1" customWidth="1"/>
    <col min="9224" max="9224" width="14.8984375" style="1" customWidth="1"/>
    <col min="9225" max="9225" width="24.59765625" style="1" customWidth="1"/>
    <col min="9226" max="9226" width="17.8984375" style="1" customWidth="1"/>
    <col min="9227" max="9473" width="9" style="1"/>
    <col min="9474" max="9474" width="6.59765625" style="1" customWidth="1"/>
    <col min="9475" max="9475" width="16.5" style="1" customWidth="1"/>
    <col min="9476" max="9476" width="15" style="1" customWidth="1"/>
    <col min="9477" max="9477" width="71.8984375" style="1" customWidth="1"/>
    <col min="9478" max="9478" width="20.09765625" style="1" customWidth="1"/>
    <col min="9479" max="9479" width="13.796875" style="1" customWidth="1"/>
    <col min="9480" max="9480" width="14.8984375" style="1" customWidth="1"/>
    <col min="9481" max="9481" width="24.59765625" style="1" customWidth="1"/>
    <col min="9482" max="9482" width="17.8984375" style="1" customWidth="1"/>
    <col min="9483" max="9729" width="9" style="1"/>
    <col min="9730" max="9730" width="6.59765625" style="1" customWidth="1"/>
    <col min="9731" max="9731" width="16.5" style="1" customWidth="1"/>
    <col min="9732" max="9732" width="15" style="1" customWidth="1"/>
    <col min="9733" max="9733" width="71.8984375" style="1" customWidth="1"/>
    <col min="9734" max="9734" width="20.09765625" style="1" customWidth="1"/>
    <col min="9735" max="9735" width="13.796875" style="1" customWidth="1"/>
    <col min="9736" max="9736" width="14.8984375" style="1" customWidth="1"/>
    <col min="9737" max="9737" width="24.59765625" style="1" customWidth="1"/>
    <col min="9738" max="9738" width="17.8984375" style="1" customWidth="1"/>
    <col min="9739" max="9985" width="9" style="1"/>
    <col min="9986" max="9986" width="6.59765625" style="1" customWidth="1"/>
    <col min="9987" max="9987" width="16.5" style="1" customWidth="1"/>
    <col min="9988" max="9988" width="15" style="1" customWidth="1"/>
    <col min="9989" max="9989" width="71.8984375" style="1" customWidth="1"/>
    <col min="9990" max="9990" width="20.09765625" style="1" customWidth="1"/>
    <col min="9991" max="9991" width="13.796875" style="1" customWidth="1"/>
    <col min="9992" max="9992" width="14.8984375" style="1" customWidth="1"/>
    <col min="9993" max="9993" width="24.59765625" style="1" customWidth="1"/>
    <col min="9994" max="9994" width="17.8984375" style="1" customWidth="1"/>
    <col min="9995" max="10241" width="9" style="1"/>
    <col min="10242" max="10242" width="6.59765625" style="1" customWidth="1"/>
    <col min="10243" max="10243" width="16.5" style="1" customWidth="1"/>
    <col min="10244" max="10244" width="15" style="1" customWidth="1"/>
    <col min="10245" max="10245" width="71.8984375" style="1" customWidth="1"/>
    <col min="10246" max="10246" width="20.09765625" style="1" customWidth="1"/>
    <col min="10247" max="10247" width="13.796875" style="1" customWidth="1"/>
    <col min="10248" max="10248" width="14.8984375" style="1" customWidth="1"/>
    <col min="10249" max="10249" width="24.59765625" style="1" customWidth="1"/>
    <col min="10250" max="10250" width="17.8984375" style="1" customWidth="1"/>
    <col min="10251" max="10497" width="9" style="1"/>
    <col min="10498" max="10498" width="6.59765625" style="1" customWidth="1"/>
    <col min="10499" max="10499" width="16.5" style="1" customWidth="1"/>
    <col min="10500" max="10500" width="15" style="1" customWidth="1"/>
    <col min="10501" max="10501" width="71.8984375" style="1" customWidth="1"/>
    <col min="10502" max="10502" width="20.09765625" style="1" customWidth="1"/>
    <col min="10503" max="10503" width="13.796875" style="1" customWidth="1"/>
    <col min="10504" max="10504" width="14.8984375" style="1" customWidth="1"/>
    <col min="10505" max="10505" width="24.59765625" style="1" customWidth="1"/>
    <col min="10506" max="10506" width="17.8984375" style="1" customWidth="1"/>
    <col min="10507" max="10753" width="9" style="1"/>
    <col min="10754" max="10754" width="6.59765625" style="1" customWidth="1"/>
    <col min="10755" max="10755" width="16.5" style="1" customWidth="1"/>
    <col min="10756" max="10756" width="15" style="1" customWidth="1"/>
    <col min="10757" max="10757" width="71.8984375" style="1" customWidth="1"/>
    <col min="10758" max="10758" width="20.09765625" style="1" customWidth="1"/>
    <col min="10759" max="10759" width="13.796875" style="1" customWidth="1"/>
    <col min="10760" max="10760" width="14.8984375" style="1" customWidth="1"/>
    <col min="10761" max="10761" width="24.59765625" style="1" customWidth="1"/>
    <col min="10762" max="10762" width="17.8984375" style="1" customWidth="1"/>
    <col min="10763" max="11009" width="9" style="1"/>
    <col min="11010" max="11010" width="6.59765625" style="1" customWidth="1"/>
    <col min="11011" max="11011" width="16.5" style="1" customWidth="1"/>
    <col min="11012" max="11012" width="15" style="1" customWidth="1"/>
    <col min="11013" max="11013" width="71.8984375" style="1" customWidth="1"/>
    <col min="11014" max="11014" width="20.09765625" style="1" customWidth="1"/>
    <col min="11015" max="11015" width="13.796875" style="1" customWidth="1"/>
    <col min="11016" max="11016" width="14.8984375" style="1" customWidth="1"/>
    <col min="11017" max="11017" width="24.59765625" style="1" customWidth="1"/>
    <col min="11018" max="11018" width="17.8984375" style="1" customWidth="1"/>
    <col min="11019" max="11265" width="9" style="1"/>
    <col min="11266" max="11266" width="6.59765625" style="1" customWidth="1"/>
    <col min="11267" max="11267" width="16.5" style="1" customWidth="1"/>
    <col min="11268" max="11268" width="15" style="1" customWidth="1"/>
    <col min="11269" max="11269" width="71.8984375" style="1" customWidth="1"/>
    <col min="11270" max="11270" width="20.09765625" style="1" customWidth="1"/>
    <col min="11271" max="11271" width="13.796875" style="1" customWidth="1"/>
    <col min="11272" max="11272" width="14.8984375" style="1" customWidth="1"/>
    <col min="11273" max="11273" width="24.59765625" style="1" customWidth="1"/>
    <col min="11274" max="11274" width="17.8984375" style="1" customWidth="1"/>
    <col min="11275" max="11521" width="9" style="1"/>
    <col min="11522" max="11522" width="6.59765625" style="1" customWidth="1"/>
    <col min="11523" max="11523" width="16.5" style="1" customWidth="1"/>
    <col min="11524" max="11524" width="15" style="1" customWidth="1"/>
    <col min="11525" max="11525" width="71.8984375" style="1" customWidth="1"/>
    <col min="11526" max="11526" width="20.09765625" style="1" customWidth="1"/>
    <col min="11527" max="11527" width="13.796875" style="1" customWidth="1"/>
    <col min="11528" max="11528" width="14.8984375" style="1" customWidth="1"/>
    <col min="11529" max="11529" width="24.59765625" style="1" customWidth="1"/>
    <col min="11530" max="11530" width="17.8984375" style="1" customWidth="1"/>
    <col min="11531" max="11777" width="9" style="1"/>
    <col min="11778" max="11778" width="6.59765625" style="1" customWidth="1"/>
    <col min="11779" max="11779" width="16.5" style="1" customWidth="1"/>
    <col min="11780" max="11780" width="15" style="1" customWidth="1"/>
    <col min="11781" max="11781" width="71.8984375" style="1" customWidth="1"/>
    <col min="11782" max="11782" width="20.09765625" style="1" customWidth="1"/>
    <col min="11783" max="11783" width="13.796875" style="1" customWidth="1"/>
    <col min="11784" max="11784" width="14.8984375" style="1" customWidth="1"/>
    <col min="11785" max="11785" width="24.59765625" style="1" customWidth="1"/>
    <col min="11786" max="11786" width="17.8984375" style="1" customWidth="1"/>
    <col min="11787" max="12033" width="9" style="1"/>
    <col min="12034" max="12034" width="6.59765625" style="1" customWidth="1"/>
    <col min="12035" max="12035" width="16.5" style="1" customWidth="1"/>
    <col min="12036" max="12036" width="15" style="1" customWidth="1"/>
    <col min="12037" max="12037" width="71.8984375" style="1" customWidth="1"/>
    <col min="12038" max="12038" width="20.09765625" style="1" customWidth="1"/>
    <col min="12039" max="12039" width="13.796875" style="1" customWidth="1"/>
    <col min="12040" max="12040" width="14.8984375" style="1" customWidth="1"/>
    <col min="12041" max="12041" width="24.59765625" style="1" customWidth="1"/>
    <col min="12042" max="12042" width="17.8984375" style="1" customWidth="1"/>
    <col min="12043" max="12289" width="9" style="1"/>
    <col min="12290" max="12290" width="6.59765625" style="1" customWidth="1"/>
    <col min="12291" max="12291" width="16.5" style="1" customWidth="1"/>
    <col min="12292" max="12292" width="15" style="1" customWidth="1"/>
    <col min="12293" max="12293" width="71.8984375" style="1" customWidth="1"/>
    <col min="12294" max="12294" width="20.09765625" style="1" customWidth="1"/>
    <col min="12295" max="12295" width="13.796875" style="1" customWidth="1"/>
    <col min="12296" max="12296" width="14.8984375" style="1" customWidth="1"/>
    <col min="12297" max="12297" width="24.59765625" style="1" customWidth="1"/>
    <col min="12298" max="12298" width="17.8984375" style="1" customWidth="1"/>
    <col min="12299" max="12545" width="9" style="1"/>
    <col min="12546" max="12546" width="6.59765625" style="1" customWidth="1"/>
    <col min="12547" max="12547" width="16.5" style="1" customWidth="1"/>
    <col min="12548" max="12548" width="15" style="1" customWidth="1"/>
    <col min="12549" max="12549" width="71.8984375" style="1" customWidth="1"/>
    <col min="12550" max="12550" width="20.09765625" style="1" customWidth="1"/>
    <col min="12551" max="12551" width="13.796875" style="1" customWidth="1"/>
    <col min="12552" max="12552" width="14.8984375" style="1" customWidth="1"/>
    <col min="12553" max="12553" width="24.59765625" style="1" customWidth="1"/>
    <col min="12554" max="12554" width="17.8984375" style="1" customWidth="1"/>
    <col min="12555" max="12801" width="9" style="1"/>
    <col min="12802" max="12802" width="6.59765625" style="1" customWidth="1"/>
    <col min="12803" max="12803" width="16.5" style="1" customWidth="1"/>
    <col min="12804" max="12804" width="15" style="1" customWidth="1"/>
    <col min="12805" max="12805" width="71.8984375" style="1" customWidth="1"/>
    <col min="12806" max="12806" width="20.09765625" style="1" customWidth="1"/>
    <col min="12807" max="12807" width="13.796875" style="1" customWidth="1"/>
    <col min="12808" max="12808" width="14.8984375" style="1" customWidth="1"/>
    <col min="12809" max="12809" width="24.59765625" style="1" customWidth="1"/>
    <col min="12810" max="12810" width="17.8984375" style="1" customWidth="1"/>
    <col min="12811" max="13057" width="9" style="1"/>
    <col min="13058" max="13058" width="6.59765625" style="1" customWidth="1"/>
    <col min="13059" max="13059" width="16.5" style="1" customWidth="1"/>
    <col min="13060" max="13060" width="15" style="1" customWidth="1"/>
    <col min="13061" max="13061" width="71.8984375" style="1" customWidth="1"/>
    <col min="13062" max="13062" width="20.09765625" style="1" customWidth="1"/>
    <col min="13063" max="13063" width="13.796875" style="1" customWidth="1"/>
    <col min="13064" max="13064" width="14.8984375" style="1" customWidth="1"/>
    <col min="13065" max="13065" width="24.59765625" style="1" customWidth="1"/>
    <col min="13066" max="13066" width="17.8984375" style="1" customWidth="1"/>
    <col min="13067" max="13313" width="9" style="1"/>
    <col min="13314" max="13314" width="6.59765625" style="1" customWidth="1"/>
    <col min="13315" max="13315" width="16.5" style="1" customWidth="1"/>
    <col min="13316" max="13316" width="15" style="1" customWidth="1"/>
    <col min="13317" max="13317" width="71.8984375" style="1" customWidth="1"/>
    <col min="13318" max="13318" width="20.09765625" style="1" customWidth="1"/>
    <col min="13319" max="13319" width="13.796875" style="1" customWidth="1"/>
    <col min="13320" max="13320" width="14.8984375" style="1" customWidth="1"/>
    <col min="13321" max="13321" width="24.59765625" style="1" customWidth="1"/>
    <col min="13322" max="13322" width="17.8984375" style="1" customWidth="1"/>
    <col min="13323" max="13569" width="9" style="1"/>
    <col min="13570" max="13570" width="6.59765625" style="1" customWidth="1"/>
    <col min="13571" max="13571" width="16.5" style="1" customWidth="1"/>
    <col min="13572" max="13572" width="15" style="1" customWidth="1"/>
    <col min="13573" max="13573" width="71.8984375" style="1" customWidth="1"/>
    <col min="13574" max="13574" width="20.09765625" style="1" customWidth="1"/>
    <col min="13575" max="13575" width="13.796875" style="1" customWidth="1"/>
    <col min="13576" max="13576" width="14.8984375" style="1" customWidth="1"/>
    <col min="13577" max="13577" width="24.59765625" style="1" customWidth="1"/>
    <col min="13578" max="13578" width="17.8984375" style="1" customWidth="1"/>
    <col min="13579" max="13825" width="9" style="1"/>
    <col min="13826" max="13826" width="6.59765625" style="1" customWidth="1"/>
    <col min="13827" max="13827" width="16.5" style="1" customWidth="1"/>
    <col min="13828" max="13828" width="15" style="1" customWidth="1"/>
    <col min="13829" max="13829" width="71.8984375" style="1" customWidth="1"/>
    <col min="13830" max="13830" width="20.09765625" style="1" customWidth="1"/>
    <col min="13831" max="13831" width="13.796875" style="1" customWidth="1"/>
    <col min="13832" max="13832" width="14.8984375" style="1" customWidth="1"/>
    <col min="13833" max="13833" width="24.59765625" style="1" customWidth="1"/>
    <col min="13834" max="13834" width="17.8984375" style="1" customWidth="1"/>
    <col min="13835" max="14081" width="9" style="1"/>
    <col min="14082" max="14082" width="6.59765625" style="1" customWidth="1"/>
    <col min="14083" max="14083" width="16.5" style="1" customWidth="1"/>
    <col min="14084" max="14084" width="15" style="1" customWidth="1"/>
    <col min="14085" max="14085" width="71.8984375" style="1" customWidth="1"/>
    <col min="14086" max="14086" width="20.09765625" style="1" customWidth="1"/>
    <col min="14087" max="14087" width="13.796875" style="1" customWidth="1"/>
    <col min="14088" max="14088" width="14.8984375" style="1" customWidth="1"/>
    <col min="14089" max="14089" width="24.59765625" style="1" customWidth="1"/>
    <col min="14090" max="14090" width="17.8984375" style="1" customWidth="1"/>
    <col min="14091" max="14337" width="9" style="1"/>
    <col min="14338" max="14338" width="6.59765625" style="1" customWidth="1"/>
    <col min="14339" max="14339" width="16.5" style="1" customWidth="1"/>
    <col min="14340" max="14340" width="15" style="1" customWidth="1"/>
    <col min="14341" max="14341" width="71.8984375" style="1" customWidth="1"/>
    <col min="14342" max="14342" width="20.09765625" style="1" customWidth="1"/>
    <col min="14343" max="14343" width="13.796875" style="1" customWidth="1"/>
    <col min="14344" max="14344" width="14.8984375" style="1" customWidth="1"/>
    <col min="14345" max="14345" width="24.59765625" style="1" customWidth="1"/>
    <col min="14346" max="14346" width="17.8984375" style="1" customWidth="1"/>
    <col min="14347" max="14593" width="9" style="1"/>
    <col min="14594" max="14594" width="6.59765625" style="1" customWidth="1"/>
    <col min="14595" max="14595" width="16.5" style="1" customWidth="1"/>
    <col min="14596" max="14596" width="15" style="1" customWidth="1"/>
    <col min="14597" max="14597" width="71.8984375" style="1" customWidth="1"/>
    <col min="14598" max="14598" width="20.09765625" style="1" customWidth="1"/>
    <col min="14599" max="14599" width="13.796875" style="1" customWidth="1"/>
    <col min="14600" max="14600" width="14.8984375" style="1" customWidth="1"/>
    <col min="14601" max="14601" width="24.59765625" style="1" customWidth="1"/>
    <col min="14602" max="14602" width="17.8984375" style="1" customWidth="1"/>
    <col min="14603" max="14849" width="9" style="1"/>
    <col min="14850" max="14850" width="6.59765625" style="1" customWidth="1"/>
    <col min="14851" max="14851" width="16.5" style="1" customWidth="1"/>
    <col min="14852" max="14852" width="15" style="1" customWidth="1"/>
    <col min="14853" max="14853" width="71.8984375" style="1" customWidth="1"/>
    <col min="14854" max="14854" width="20.09765625" style="1" customWidth="1"/>
    <col min="14855" max="14855" width="13.796875" style="1" customWidth="1"/>
    <col min="14856" max="14856" width="14.8984375" style="1" customWidth="1"/>
    <col min="14857" max="14857" width="24.59765625" style="1" customWidth="1"/>
    <col min="14858" max="14858" width="17.8984375" style="1" customWidth="1"/>
    <col min="14859" max="15105" width="9" style="1"/>
    <col min="15106" max="15106" width="6.59765625" style="1" customWidth="1"/>
    <col min="15107" max="15107" width="16.5" style="1" customWidth="1"/>
    <col min="15108" max="15108" width="15" style="1" customWidth="1"/>
    <col min="15109" max="15109" width="71.8984375" style="1" customWidth="1"/>
    <col min="15110" max="15110" width="20.09765625" style="1" customWidth="1"/>
    <col min="15111" max="15111" width="13.796875" style="1" customWidth="1"/>
    <col min="15112" max="15112" width="14.8984375" style="1" customWidth="1"/>
    <col min="15113" max="15113" width="24.59765625" style="1" customWidth="1"/>
    <col min="15114" max="15114" width="17.8984375" style="1" customWidth="1"/>
    <col min="15115" max="15361" width="9" style="1"/>
    <col min="15362" max="15362" width="6.59765625" style="1" customWidth="1"/>
    <col min="15363" max="15363" width="16.5" style="1" customWidth="1"/>
    <col min="15364" max="15364" width="15" style="1" customWidth="1"/>
    <col min="15365" max="15365" width="71.8984375" style="1" customWidth="1"/>
    <col min="15366" max="15366" width="20.09765625" style="1" customWidth="1"/>
    <col min="15367" max="15367" width="13.796875" style="1" customWidth="1"/>
    <col min="15368" max="15368" width="14.8984375" style="1" customWidth="1"/>
    <col min="15369" max="15369" width="24.59765625" style="1" customWidth="1"/>
    <col min="15370" max="15370" width="17.8984375" style="1" customWidth="1"/>
    <col min="15371" max="15617" width="9" style="1"/>
    <col min="15618" max="15618" width="6.59765625" style="1" customWidth="1"/>
    <col min="15619" max="15619" width="16.5" style="1" customWidth="1"/>
    <col min="15620" max="15620" width="15" style="1" customWidth="1"/>
    <col min="15621" max="15621" width="71.8984375" style="1" customWidth="1"/>
    <col min="15622" max="15622" width="20.09765625" style="1" customWidth="1"/>
    <col min="15623" max="15623" width="13.796875" style="1" customWidth="1"/>
    <col min="15624" max="15624" width="14.8984375" style="1" customWidth="1"/>
    <col min="15625" max="15625" width="24.59765625" style="1" customWidth="1"/>
    <col min="15626" max="15626" width="17.8984375" style="1" customWidth="1"/>
    <col min="15627" max="15873" width="9" style="1"/>
    <col min="15874" max="15874" width="6.59765625" style="1" customWidth="1"/>
    <col min="15875" max="15875" width="16.5" style="1" customWidth="1"/>
    <col min="15876" max="15876" width="15" style="1" customWidth="1"/>
    <col min="15877" max="15877" width="71.8984375" style="1" customWidth="1"/>
    <col min="15878" max="15878" width="20.09765625" style="1" customWidth="1"/>
    <col min="15879" max="15879" width="13.796875" style="1" customWidth="1"/>
    <col min="15880" max="15880" width="14.8984375" style="1" customWidth="1"/>
    <col min="15881" max="15881" width="24.59765625" style="1" customWidth="1"/>
    <col min="15882" max="15882" width="17.8984375" style="1" customWidth="1"/>
    <col min="15883" max="16129" width="9" style="1"/>
    <col min="16130" max="16130" width="6.59765625" style="1" customWidth="1"/>
    <col min="16131" max="16131" width="16.5" style="1" customWidth="1"/>
    <col min="16132" max="16132" width="15" style="1" customWidth="1"/>
    <col min="16133" max="16133" width="71.8984375" style="1" customWidth="1"/>
    <col min="16134" max="16134" width="20.09765625" style="1" customWidth="1"/>
    <col min="16135" max="16135" width="13.796875" style="1" customWidth="1"/>
    <col min="16136" max="16136" width="14.898437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A2" s="13"/>
      <c r="B2" s="4" t="s">
        <v>0</v>
      </c>
      <c r="C2" s="4" t="s">
        <v>85</v>
      </c>
      <c r="D2" s="4" t="s">
        <v>86</v>
      </c>
      <c r="E2" s="4" t="s">
        <v>87</v>
      </c>
      <c r="F2" s="4" t="s">
        <v>3</v>
      </c>
    </row>
    <row r="3" spans="1:10" ht="30.45" customHeight="1" x14ac:dyDescent="0.25">
      <c r="B3" s="5" t="s">
        <v>88</v>
      </c>
      <c r="C3" s="5" t="s">
        <v>67</v>
      </c>
      <c r="D3" s="5" t="s">
        <v>68</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56" customHeight="1" x14ac:dyDescent="0.25">
      <c r="B8" s="7" t="s">
        <v>283</v>
      </c>
      <c r="C8" s="5" t="s">
        <v>284</v>
      </c>
      <c r="D8" s="14" t="s">
        <v>416</v>
      </c>
      <c r="E8" s="5"/>
      <c r="F8" s="5"/>
      <c r="G8" s="7"/>
      <c r="H8" s="7"/>
      <c r="I8" s="11"/>
      <c r="J8" s="7"/>
    </row>
    <row r="9" spans="1:10" ht="82.2" customHeight="1" x14ac:dyDescent="0.25">
      <c r="B9" s="7" t="s">
        <v>283</v>
      </c>
      <c r="C9" s="5" t="s">
        <v>284</v>
      </c>
      <c r="D9" s="8" t="s">
        <v>417</v>
      </c>
      <c r="E9" s="5"/>
      <c r="F9" s="5"/>
      <c r="G9" s="7"/>
      <c r="H9" s="7"/>
      <c r="I9" s="11"/>
      <c r="J9" s="7"/>
    </row>
    <row r="10" spans="1:10" ht="51" customHeight="1" x14ac:dyDescent="0.25">
      <c r="B10" s="7" t="s">
        <v>283</v>
      </c>
      <c r="C10" s="5" t="s">
        <v>418</v>
      </c>
      <c r="D10" s="8" t="s">
        <v>419</v>
      </c>
      <c r="E10" s="5"/>
      <c r="F10" s="5"/>
      <c r="G10" s="7"/>
      <c r="H10" s="7"/>
      <c r="I10" s="11"/>
      <c r="J10" s="7"/>
    </row>
    <row r="11" spans="1:10" ht="120.45" customHeight="1" x14ac:dyDescent="0.25">
      <c r="B11" s="7" t="s">
        <v>283</v>
      </c>
      <c r="C11" s="5" t="s">
        <v>284</v>
      </c>
      <c r="D11" s="14" t="s">
        <v>420</v>
      </c>
      <c r="E11" s="5"/>
      <c r="F11" s="5"/>
      <c r="G11" s="7"/>
      <c r="H11" s="7"/>
      <c r="I11" s="11"/>
      <c r="J11" s="7"/>
    </row>
    <row r="12" spans="1:10" ht="62.55" customHeight="1" x14ac:dyDescent="0.25">
      <c r="B12" s="7" t="s">
        <v>24</v>
      </c>
      <c r="C12" s="5" t="s">
        <v>287</v>
      </c>
      <c r="D12" s="8" t="s">
        <v>288</v>
      </c>
      <c r="E12" s="5"/>
      <c r="F12" s="5"/>
      <c r="G12" s="7"/>
      <c r="H12" s="7"/>
      <c r="I12" s="11"/>
      <c r="J12" s="7"/>
    </row>
    <row r="13" spans="1:10" ht="72" customHeight="1" x14ac:dyDescent="0.25">
      <c r="B13" s="7" t="s">
        <v>289</v>
      </c>
      <c r="C13" s="7" t="s">
        <v>290</v>
      </c>
      <c r="D13" s="8" t="s">
        <v>421</v>
      </c>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sheetData>
  <mergeCells count="3">
    <mergeCell ref="B1:E1"/>
    <mergeCell ref="B6:J6"/>
    <mergeCell ref="B16:D16"/>
  </mergeCells>
  <phoneticPr fontId="29" type="noConversion"/>
  <dataValidations count="2">
    <dataValidation type="list" allowBlank="1" showInputMessage="1" showErrorMessage="1" sqref="E3" xr:uid="{00000000-0002-0000-24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2400-000001000000}">
      <formula1>"正确,错误"</formula1>
    </dataValidation>
  </dataValidations>
  <hyperlinks>
    <hyperlink ref="A1" location="UAT测试案例清单!A1" display="返回" xr:uid="{00000000-0004-0000-24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J18"/>
  <sheetViews>
    <sheetView zoomScale="90" zoomScaleNormal="90" workbookViewId="0">
      <selection activeCell="B17" sqref="B17:D17"/>
    </sheetView>
  </sheetViews>
  <sheetFormatPr defaultColWidth="9" defaultRowHeight="12" x14ac:dyDescent="0.25"/>
  <cols>
    <col min="1" max="1" width="6.59765625" style="1" customWidth="1"/>
    <col min="2" max="2" width="19.69921875" style="1" customWidth="1"/>
    <col min="3" max="3" width="25.69921875" style="1" customWidth="1"/>
    <col min="4" max="4" width="65.09765625" style="1" customWidth="1"/>
    <col min="5" max="5" width="20.09765625" style="1" customWidth="1"/>
    <col min="6" max="6" width="13.796875" style="1" customWidth="1"/>
    <col min="7" max="7" width="14.898437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65.09765625" style="1" customWidth="1"/>
    <col min="262" max="262" width="20.09765625" style="1" customWidth="1"/>
    <col min="263" max="263" width="13.796875" style="1" customWidth="1"/>
    <col min="264" max="264" width="14.898437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65.09765625" style="1" customWidth="1"/>
    <col min="518" max="518" width="20.09765625" style="1" customWidth="1"/>
    <col min="519" max="519" width="13.796875" style="1" customWidth="1"/>
    <col min="520" max="520" width="14.898437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65.09765625" style="1" customWidth="1"/>
    <col min="774" max="774" width="20.09765625" style="1" customWidth="1"/>
    <col min="775" max="775" width="13.796875" style="1" customWidth="1"/>
    <col min="776" max="776" width="14.898437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65.09765625" style="1" customWidth="1"/>
    <col min="1030" max="1030" width="20.09765625" style="1" customWidth="1"/>
    <col min="1031" max="1031" width="13.796875" style="1" customWidth="1"/>
    <col min="1032" max="1032" width="14.898437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65.09765625" style="1" customWidth="1"/>
    <col min="1286" max="1286" width="20.09765625" style="1" customWidth="1"/>
    <col min="1287" max="1287" width="13.796875" style="1" customWidth="1"/>
    <col min="1288" max="1288" width="14.898437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65.09765625" style="1" customWidth="1"/>
    <col min="1542" max="1542" width="20.09765625" style="1" customWidth="1"/>
    <col min="1543" max="1543" width="13.796875" style="1" customWidth="1"/>
    <col min="1544" max="1544" width="14.898437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65.09765625" style="1" customWidth="1"/>
    <col min="1798" max="1798" width="20.09765625" style="1" customWidth="1"/>
    <col min="1799" max="1799" width="13.796875" style="1" customWidth="1"/>
    <col min="1800" max="1800" width="14.898437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65.09765625" style="1" customWidth="1"/>
    <col min="2054" max="2054" width="20.09765625" style="1" customWidth="1"/>
    <col min="2055" max="2055" width="13.796875" style="1" customWidth="1"/>
    <col min="2056" max="2056" width="14.898437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65.09765625" style="1" customWidth="1"/>
    <col min="2310" max="2310" width="20.09765625" style="1" customWidth="1"/>
    <col min="2311" max="2311" width="13.796875" style="1" customWidth="1"/>
    <col min="2312" max="2312" width="14.898437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65.09765625" style="1" customWidth="1"/>
    <col min="2566" max="2566" width="20.09765625" style="1" customWidth="1"/>
    <col min="2567" max="2567" width="13.796875" style="1" customWidth="1"/>
    <col min="2568" max="2568" width="14.898437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65.09765625" style="1" customWidth="1"/>
    <col min="2822" max="2822" width="20.09765625" style="1" customWidth="1"/>
    <col min="2823" max="2823" width="13.796875" style="1" customWidth="1"/>
    <col min="2824" max="2824" width="14.898437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65.09765625" style="1" customWidth="1"/>
    <col min="3078" max="3078" width="20.09765625" style="1" customWidth="1"/>
    <col min="3079" max="3079" width="13.796875" style="1" customWidth="1"/>
    <col min="3080" max="3080" width="14.898437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65.09765625" style="1" customWidth="1"/>
    <col min="3334" max="3334" width="20.09765625" style="1" customWidth="1"/>
    <col min="3335" max="3335" width="13.796875" style="1" customWidth="1"/>
    <col min="3336" max="3336" width="14.898437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65.09765625" style="1" customWidth="1"/>
    <col min="3590" max="3590" width="20.09765625" style="1" customWidth="1"/>
    <col min="3591" max="3591" width="13.796875" style="1" customWidth="1"/>
    <col min="3592" max="3592" width="14.898437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65.09765625" style="1" customWidth="1"/>
    <col min="3846" max="3846" width="20.09765625" style="1" customWidth="1"/>
    <col min="3847" max="3847" width="13.796875" style="1" customWidth="1"/>
    <col min="3848" max="3848" width="14.898437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65.09765625" style="1" customWidth="1"/>
    <col min="4102" max="4102" width="20.09765625" style="1" customWidth="1"/>
    <col min="4103" max="4103" width="13.796875" style="1" customWidth="1"/>
    <col min="4104" max="4104" width="14.898437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65.09765625" style="1" customWidth="1"/>
    <col min="4358" max="4358" width="20.09765625" style="1" customWidth="1"/>
    <col min="4359" max="4359" width="13.796875" style="1" customWidth="1"/>
    <col min="4360" max="4360" width="14.898437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65.09765625" style="1" customWidth="1"/>
    <col min="4614" max="4614" width="20.09765625" style="1" customWidth="1"/>
    <col min="4615" max="4615" width="13.796875" style="1" customWidth="1"/>
    <col min="4616" max="4616" width="14.898437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65.09765625" style="1" customWidth="1"/>
    <col min="4870" max="4870" width="20.09765625" style="1" customWidth="1"/>
    <col min="4871" max="4871" width="13.796875" style="1" customWidth="1"/>
    <col min="4872" max="4872" width="14.898437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65.09765625" style="1" customWidth="1"/>
    <col min="5126" max="5126" width="20.09765625" style="1" customWidth="1"/>
    <col min="5127" max="5127" width="13.796875" style="1" customWidth="1"/>
    <col min="5128" max="5128" width="14.898437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65.09765625" style="1" customWidth="1"/>
    <col min="5382" max="5382" width="20.09765625" style="1" customWidth="1"/>
    <col min="5383" max="5383" width="13.796875" style="1" customWidth="1"/>
    <col min="5384" max="5384" width="14.898437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65.09765625" style="1" customWidth="1"/>
    <col min="5638" max="5638" width="20.09765625" style="1" customWidth="1"/>
    <col min="5639" max="5639" width="13.796875" style="1" customWidth="1"/>
    <col min="5640" max="5640" width="14.898437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65.09765625" style="1" customWidth="1"/>
    <col min="5894" max="5894" width="20.09765625" style="1" customWidth="1"/>
    <col min="5895" max="5895" width="13.796875" style="1" customWidth="1"/>
    <col min="5896" max="5896" width="14.898437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65.09765625" style="1" customWidth="1"/>
    <col min="6150" max="6150" width="20.09765625" style="1" customWidth="1"/>
    <col min="6151" max="6151" width="13.796875" style="1" customWidth="1"/>
    <col min="6152" max="6152" width="14.898437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65.09765625" style="1" customWidth="1"/>
    <col min="6406" max="6406" width="20.09765625" style="1" customWidth="1"/>
    <col min="6407" max="6407" width="13.796875" style="1" customWidth="1"/>
    <col min="6408" max="6408" width="14.898437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65.09765625" style="1" customWidth="1"/>
    <col min="6662" max="6662" width="20.09765625" style="1" customWidth="1"/>
    <col min="6663" max="6663" width="13.796875" style="1" customWidth="1"/>
    <col min="6664" max="6664" width="14.898437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65.09765625" style="1" customWidth="1"/>
    <col min="6918" max="6918" width="20.09765625" style="1" customWidth="1"/>
    <col min="6919" max="6919" width="13.796875" style="1" customWidth="1"/>
    <col min="6920" max="6920" width="14.898437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65.09765625" style="1" customWidth="1"/>
    <col min="7174" max="7174" width="20.09765625" style="1" customWidth="1"/>
    <col min="7175" max="7175" width="13.796875" style="1" customWidth="1"/>
    <col min="7176" max="7176" width="14.898437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65.09765625" style="1" customWidth="1"/>
    <col min="7430" max="7430" width="20.09765625" style="1" customWidth="1"/>
    <col min="7431" max="7431" width="13.796875" style="1" customWidth="1"/>
    <col min="7432" max="7432" width="14.898437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65.09765625" style="1" customWidth="1"/>
    <col min="7686" max="7686" width="20.09765625" style="1" customWidth="1"/>
    <col min="7687" max="7687" width="13.796875" style="1" customWidth="1"/>
    <col min="7688" max="7688" width="14.898437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65.09765625" style="1" customWidth="1"/>
    <col min="7942" max="7942" width="20.09765625" style="1" customWidth="1"/>
    <col min="7943" max="7943" width="13.796875" style="1" customWidth="1"/>
    <col min="7944" max="7944" width="14.898437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65.09765625" style="1" customWidth="1"/>
    <col min="8198" max="8198" width="20.09765625" style="1" customWidth="1"/>
    <col min="8199" max="8199" width="13.796875" style="1" customWidth="1"/>
    <col min="8200" max="8200" width="14.898437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65.09765625" style="1" customWidth="1"/>
    <col min="8454" max="8454" width="20.09765625" style="1" customWidth="1"/>
    <col min="8455" max="8455" width="13.796875" style="1" customWidth="1"/>
    <col min="8456" max="8456" width="14.898437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65.09765625" style="1" customWidth="1"/>
    <col min="8710" max="8710" width="20.09765625" style="1" customWidth="1"/>
    <col min="8711" max="8711" width="13.796875" style="1" customWidth="1"/>
    <col min="8712" max="8712" width="14.898437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65.09765625" style="1" customWidth="1"/>
    <col min="8966" max="8966" width="20.09765625" style="1" customWidth="1"/>
    <col min="8967" max="8967" width="13.796875" style="1" customWidth="1"/>
    <col min="8968" max="8968" width="14.898437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65.09765625" style="1" customWidth="1"/>
    <col min="9222" max="9222" width="20.09765625" style="1" customWidth="1"/>
    <col min="9223" max="9223" width="13.796875" style="1" customWidth="1"/>
    <col min="9224" max="9224" width="14.898437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65.09765625" style="1" customWidth="1"/>
    <col min="9478" max="9478" width="20.09765625" style="1" customWidth="1"/>
    <col min="9479" max="9479" width="13.796875" style="1" customWidth="1"/>
    <col min="9480" max="9480" width="14.898437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65.09765625" style="1" customWidth="1"/>
    <col min="9734" max="9734" width="20.09765625" style="1" customWidth="1"/>
    <col min="9735" max="9735" width="13.796875" style="1" customWidth="1"/>
    <col min="9736" max="9736" width="14.898437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65.09765625" style="1" customWidth="1"/>
    <col min="9990" max="9990" width="20.09765625" style="1" customWidth="1"/>
    <col min="9991" max="9991" width="13.796875" style="1" customWidth="1"/>
    <col min="9992" max="9992" width="14.898437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65.09765625" style="1" customWidth="1"/>
    <col min="10246" max="10246" width="20.09765625" style="1" customWidth="1"/>
    <col min="10247" max="10247" width="13.796875" style="1" customWidth="1"/>
    <col min="10248" max="10248" width="14.898437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65.09765625" style="1" customWidth="1"/>
    <col min="10502" max="10502" width="20.09765625" style="1" customWidth="1"/>
    <col min="10503" max="10503" width="13.796875" style="1" customWidth="1"/>
    <col min="10504" max="10504" width="14.898437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65.09765625" style="1" customWidth="1"/>
    <col min="10758" max="10758" width="20.09765625" style="1" customWidth="1"/>
    <col min="10759" max="10759" width="13.796875" style="1" customWidth="1"/>
    <col min="10760" max="10760" width="14.898437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65.09765625" style="1" customWidth="1"/>
    <col min="11014" max="11014" width="20.09765625" style="1" customWidth="1"/>
    <col min="11015" max="11015" width="13.796875" style="1" customWidth="1"/>
    <col min="11016" max="11016" width="14.898437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65.09765625" style="1" customWidth="1"/>
    <col min="11270" max="11270" width="20.09765625" style="1" customWidth="1"/>
    <col min="11271" max="11271" width="13.796875" style="1" customWidth="1"/>
    <col min="11272" max="11272" width="14.898437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65.09765625" style="1" customWidth="1"/>
    <col min="11526" max="11526" width="20.09765625" style="1" customWidth="1"/>
    <col min="11527" max="11527" width="13.796875" style="1" customWidth="1"/>
    <col min="11528" max="11528" width="14.898437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65.09765625" style="1" customWidth="1"/>
    <col min="11782" max="11782" width="20.09765625" style="1" customWidth="1"/>
    <col min="11783" max="11783" width="13.796875" style="1" customWidth="1"/>
    <col min="11784" max="11784" width="14.898437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65.09765625" style="1" customWidth="1"/>
    <col min="12038" max="12038" width="20.09765625" style="1" customWidth="1"/>
    <col min="12039" max="12039" width="13.796875" style="1" customWidth="1"/>
    <col min="12040" max="12040" width="14.898437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65.09765625" style="1" customWidth="1"/>
    <col min="12294" max="12294" width="20.09765625" style="1" customWidth="1"/>
    <col min="12295" max="12295" width="13.796875" style="1" customWidth="1"/>
    <col min="12296" max="12296" width="14.898437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65.09765625" style="1" customWidth="1"/>
    <col min="12550" max="12550" width="20.09765625" style="1" customWidth="1"/>
    <col min="12551" max="12551" width="13.796875" style="1" customWidth="1"/>
    <col min="12552" max="12552" width="14.898437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65.09765625" style="1" customWidth="1"/>
    <col min="12806" max="12806" width="20.09765625" style="1" customWidth="1"/>
    <col min="12807" max="12807" width="13.796875" style="1" customWidth="1"/>
    <col min="12808" max="12808" width="14.898437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65.09765625" style="1" customWidth="1"/>
    <col min="13062" max="13062" width="20.09765625" style="1" customWidth="1"/>
    <col min="13063" max="13063" width="13.796875" style="1" customWidth="1"/>
    <col min="13064" max="13064" width="14.898437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65.09765625" style="1" customWidth="1"/>
    <col min="13318" max="13318" width="20.09765625" style="1" customWidth="1"/>
    <col min="13319" max="13319" width="13.796875" style="1" customWidth="1"/>
    <col min="13320" max="13320" width="14.898437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65.09765625" style="1" customWidth="1"/>
    <col min="13574" max="13574" width="20.09765625" style="1" customWidth="1"/>
    <col min="13575" max="13575" width="13.796875" style="1" customWidth="1"/>
    <col min="13576" max="13576" width="14.898437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65.09765625" style="1" customWidth="1"/>
    <col min="13830" max="13830" width="20.09765625" style="1" customWidth="1"/>
    <col min="13831" max="13831" width="13.796875" style="1" customWidth="1"/>
    <col min="13832" max="13832" width="14.898437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65.09765625" style="1" customWidth="1"/>
    <col min="14086" max="14086" width="20.09765625" style="1" customWidth="1"/>
    <col min="14087" max="14087" width="13.796875" style="1" customWidth="1"/>
    <col min="14088" max="14088" width="14.898437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65.09765625" style="1" customWidth="1"/>
    <col min="14342" max="14342" width="20.09765625" style="1" customWidth="1"/>
    <col min="14343" max="14343" width="13.796875" style="1" customWidth="1"/>
    <col min="14344" max="14344" width="14.898437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65.09765625" style="1" customWidth="1"/>
    <col min="14598" max="14598" width="20.09765625" style="1" customWidth="1"/>
    <col min="14599" max="14599" width="13.796875" style="1" customWidth="1"/>
    <col min="14600" max="14600" width="14.898437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65.09765625" style="1" customWidth="1"/>
    <col min="14854" max="14854" width="20.09765625" style="1" customWidth="1"/>
    <col min="14855" max="14855" width="13.796875" style="1" customWidth="1"/>
    <col min="14856" max="14856" width="14.898437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65.09765625" style="1" customWidth="1"/>
    <col min="15110" max="15110" width="20.09765625" style="1" customWidth="1"/>
    <col min="15111" max="15111" width="13.796875" style="1" customWidth="1"/>
    <col min="15112" max="15112" width="14.898437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65.09765625" style="1" customWidth="1"/>
    <col min="15366" max="15366" width="20.09765625" style="1" customWidth="1"/>
    <col min="15367" max="15367" width="13.796875" style="1" customWidth="1"/>
    <col min="15368" max="15368" width="14.898437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65.09765625" style="1" customWidth="1"/>
    <col min="15622" max="15622" width="20.09765625" style="1" customWidth="1"/>
    <col min="15623" max="15623" width="13.796875" style="1" customWidth="1"/>
    <col min="15624" max="15624" width="14.898437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65.09765625" style="1" customWidth="1"/>
    <col min="15878" max="15878" width="20.09765625" style="1" customWidth="1"/>
    <col min="15879" max="15879" width="13.796875" style="1" customWidth="1"/>
    <col min="15880" max="15880" width="14.898437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65.09765625" style="1" customWidth="1"/>
    <col min="16134" max="16134" width="20.09765625" style="1" customWidth="1"/>
    <col min="16135" max="16135" width="13.796875" style="1" customWidth="1"/>
    <col min="16136" max="16136" width="14.898437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40.5" customHeight="1" x14ac:dyDescent="0.25">
      <c r="B3" s="5" t="s">
        <v>88</v>
      </c>
      <c r="C3" s="5" t="s">
        <v>69</v>
      </c>
      <c r="D3" s="5" t="s">
        <v>70</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47.44999999999999" customHeight="1" x14ac:dyDescent="0.25">
      <c r="B8" s="7" t="s">
        <v>283</v>
      </c>
      <c r="C8" s="5" t="s">
        <v>284</v>
      </c>
      <c r="D8" s="5" t="s">
        <v>422</v>
      </c>
      <c r="E8" s="5"/>
      <c r="F8" s="5"/>
      <c r="G8" s="7"/>
      <c r="H8" s="7"/>
      <c r="I8" s="11"/>
      <c r="J8" s="7"/>
    </row>
    <row r="9" spans="1:10" ht="58.05" customHeight="1" x14ac:dyDescent="0.25">
      <c r="B9" s="7" t="s">
        <v>24</v>
      </c>
      <c r="C9" s="5" t="s">
        <v>287</v>
      </c>
      <c r="D9" s="8" t="s">
        <v>423</v>
      </c>
      <c r="E9" s="5"/>
      <c r="F9" s="5"/>
      <c r="G9" s="7"/>
      <c r="H9" s="7"/>
      <c r="I9" s="11"/>
      <c r="J9" s="7"/>
    </row>
    <row r="10" spans="1:10" ht="60" customHeight="1" x14ac:dyDescent="0.25">
      <c r="B10" s="7" t="s">
        <v>289</v>
      </c>
      <c r="C10" s="7" t="s">
        <v>290</v>
      </c>
      <c r="D10" s="8" t="s">
        <v>424</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sheetData>
  <mergeCells count="3">
    <mergeCell ref="B1:E1"/>
    <mergeCell ref="B6:J6"/>
    <mergeCell ref="B16:D16"/>
  </mergeCells>
  <phoneticPr fontId="29" type="noConversion"/>
  <dataValidations count="2">
    <dataValidation type="list" allowBlank="1" showInputMessage="1" showErrorMessage="1" sqref="E3" xr:uid="{00000000-0002-0000-25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2500-000001000000}">
      <formula1>"正确,错误"</formula1>
    </dataValidation>
  </dataValidations>
  <hyperlinks>
    <hyperlink ref="A1" location="UAT测试案例清单!A1" display="返回" xr:uid="{00000000-0004-0000-25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J18"/>
  <sheetViews>
    <sheetView zoomScale="70" zoomScaleNormal="70" zoomScaleSheetLayoutView="95" workbookViewId="0">
      <selection activeCell="G39" sqref="G39"/>
    </sheetView>
  </sheetViews>
  <sheetFormatPr defaultColWidth="9" defaultRowHeight="12" x14ac:dyDescent="0.25"/>
  <cols>
    <col min="1" max="1" width="6.59765625" style="1" customWidth="1"/>
    <col min="2" max="2" width="19.69921875" style="1" customWidth="1"/>
    <col min="3" max="3" width="25.69921875" style="1" customWidth="1"/>
    <col min="4" max="4" width="70.69921875" style="1" customWidth="1"/>
    <col min="5" max="5" width="20.09765625" style="1" customWidth="1"/>
    <col min="6" max="6" width="13.796875" style="1" customWidth="1"/>
    <col min="7" max="7" width="14.898437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70.69921875" style="1" customWidth="1"/>
    <col min="262" max="262" width="20.09765625" style="1" customWidth="1"/>
    <col min="263" max="263" width="13.796875" style="1" customWidth="1"/>
    <col min="264" max="264" width="14.898437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70.69921875" style="1" customWidth="1"/>
    <col min="518" max="518" width="20.09765625" style="1" customWidth="1"/>
    <col min="519" max="519" width="13.796875" style="1" customWidth="1"/>
    <col min="520" max="520" width="14.898437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70.69921875" style="1" customWidth="1"/>
    <col min="774" max="774" width="20.09765625" style="1" customWidth="1"/>
    <col min="775" max="775" width="13.796875" style="1" customWidth="1"/>
    <col min="776" max="776" width="14.898437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70.69921875" style="1" customWidth="1"/>
    <col min="1030" max="1030" width="20.09765625" style="1" customWidth="1"/>
    <col min="1031" max="1031" width="13.796875" style="1" customWidth="1"/>
    <col min="1032" max="1032" width="14.898437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70.69921875" style="1" customWidth="1"/>
    <col min="1286" max="1286" width="20.09765625" style="1" customWidth="1"/>
    <col min="1287" max="1287" width="13.796875" style="1" customWidth="1"/>
    <col min="1288" max="1288" width="14.898437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70.69921875" style="1" customWidth="1"/>
    <col min="1542" max="1542" width="20.09765625" style="1" customWidth="1"/>
    <col min="1543" max="1543" width="13.796875" style="1" customWidth="1"/>
    <col min="1544" max="1544" width="14.898437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70.69921875" style="1" customWidth="1"/>
    <col min="1798" max="1798" width="20.09765625" style="1" customWidth="1"/>
    <col min="1799" max="1799" width="13.796875" style="1" customWidth="1"/>
    <col min="1800" max="1800" width="14.898437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70.69921875" style="1" customWidth="1"/>
    <col min="2054" max="2054" width="20.09765625" style="1" customWidth="1"/>
    <col min="2055" max="2055" width="13.796875" style="1" customWidth="1"/>
    <col min="2056" max="2056" width="14.898437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70.69921875" style="1" customWidth="1"/>
    <col min="2310" max="2310" width="20.09765625" style="1" customWidth="1"/>
    <col min="2311" max="2311" width="13.796875" style="1" customWidth="1"/>
    <col min="2312" max="2312" width="14.898437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70.69921875" style="1" customWidth="1"/>
    <col min="2566" max="2566" width="20.09765625" style="1" customWidth="1"/>
    <col min="2567" max="2567" width="13.796875" style="1" customWidth="1"/>
    <col min="2568" max="2568" width="14.898437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70.69921875" style="1" customWidth="1"/>
    <col min="2822" max="2822" width="20.09765625" style="1" customWidth="1"/>
    <col min="2823" max="2823" width="13.796875" style="1" customWidth="1"/>
    <col min="2824" max="2824" width="14.898437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70.69921875" style="1" customWidth="1"/>
    <col min="3078" max="3078" width="20.09765625" style="1" customWidth="1"/>
    <col min="3079" max="3079" width="13.796875" style="1" customWidth="1"/>
    <col min="3080" max="3080" width="14.898437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70.69921875" style="1" customWidth="1"/>
    <col min="3334" max="3334" width="20.09765625" style="1" customWidth="1"/>
    <col min="3335" max="3335" width="13.796875" style="1" customWidth="1"/>
    <col min="3336" max="3336" width="14.898437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70.69921875" style="1" customWidth="1"/>
    <col min="3590" max="3590" width="20.09765625" style="1" customWidth="1"/>
    <col min="3591" max="3591" width="13.796875" style="1" customWidth="1"/>
    <col min="3592" max="3592" width="14.898437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70.69921875" style="1" customWidth="1"/>
    <col min="3846" max="3846" width="20.09765625" style="1" customWidth="1"/>
    <col min="3847" max="3847" width="13.796875" style="1" customWidth="1"/>
    <col min="3848" max="3848" width="14.898437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70.69921875" style="1" customWidth="1"/>
    <col min="4102" max="4102" width="20.09765625" style="1" customWidth="1"/>
    <col min="4103" max="4103" width="13.796875" style="1" customWidth="1"/>
    <col min="4104" max="4104" width="14.898437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70.69921875" style="1" customWidth="1"/>
    <col min="4358" max="4358" width="20.09765625" style="1" customWidth="1"/>
    <col min="4359" max="4359" width="13.796875" style="1" customWidth="1"/>
    <col min="4360" max="4360" width="14.898437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70.69921875" style="1" customWidth="1"/>
    <col min="4614" max="4614" width="20.09765625" style="1" customWidth="1"/>
    <col min="4615" max="4615" width="13.796875" style="1" customWidth="1"/>
    <col min="4616" max="4616" width="14.898437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70.69921875" style="1" customWidth="1"/>
    <col min="4870" max="4870" width="20.09765625" style="1" customWidth="1"/>
    <col min="4871" max="4871" width="13.796875" style="1" customWidth="1"/>
    <col min="4872" max="4872" width="14.898437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70.69921875" style="1" customWidth="1"/>
    <col min="5126" max="5126" width="20.09765625" style="1" customWidth="1"/>
    <col min="5127" max="5127" width="13.796875" style="1" customWidth="1"/>
    <col min="5128" max="5128" width="14.898437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70.69921875" style="1" customWidth="1"/>
    <col min="5382" max="5382" width="20.09765625" style="1" customWidth="1"/>
    <col min="5383" max="5383" width="13.796875" style="1" customWidth="1"/>
    <col min="5384" max="5384" width="14.898437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70.69921875" style="1" customWidth="1"/>
    <col min="5638" max="5638" width="20.09765625" style="1" customWidth="1"/>
    <col min="5639" max="5639" width="13.796875" style="1" customWidth="1"/>
    <col min="5640" max="5640" width="14.898437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70.69921875" style="1" customWidth="1"/>
    <col min="5894" max="5894" width="20.09765625" style="1" customWidth="1"/>
    <col min="5895" max="5895" width="13.796875" style="1" customWidth="1"/>
    <col min="5896" max="5896" width="14.898437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70.69921875" style="1" customWidth="1"/>
    <col min="6150" max="6150" width="20.09765625" style="1" customWidth="1"/>
    <col min="6151" max="6151" width="13.796875" style="1" customWidth="1"/>
    <col min="6152" max="6152" width="14.898437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70.69921875" style="1" customWidth="1"/>
    <col min="6406" max="6406" width="20.09765625" style="1" customWidth="1"/>
    <col min="6407" max="6407" width="13.796875" style="1" customWidth="1"/>
    <col min="6408" max="6408" width="14.898437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70.69921875" style="1" customWidth="1"/>
    <col min="6662" max="6662" width="20.09765625" style="1" customWidth="1"/>
    <col min="6663" max="6663" width="13.796875" style="1" customWidth="1"/>
    <col min="6664" max="6664" width="14.898437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70.69921875" style="1" customWidth="1"/>
    <col min="6918" max="6918" width="20.09765625" style="1" customWidth="1"/>
    <col min="6919" max="6919" width="13.796875" style="1" customWidth="1"/>
    <col min="6920" max="6920" width="14.898437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70.69921875" style="1" customWidth="1"/>
    <col min="7174" max="7174" width="20.09765625" style="1" customWidth="1"/>
    <col min="7175" max="7175" width="13.796875" style="1" customWidth="1"/>
    <col min="7176" max="7176" width="14.898437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70.69921875" style="1" customWidth="1"/>
    <col min="7430" max="7430" width="20.09765625" style="1" customWidth="1"/>
    <col min="7431" max="7431" width="13.796875" style="1" customWidth="1"/>
    <col min="7432" max="7432" width="14.898437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70.69921875" style="1" customWidth="1"/>
    <col min="7686" max="7686" width="20.09765625" style="1" customWidth="1"/>
    <col min="7687" max="7687" width="13.796875" style="1" customWidth="1"/>
    <col min="7688" max="7688" width="14.898437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70.69921875" style="1" customWidth="1"/>
    <col min="7942" max="7942" width="20.09765625" style="1" customWidth="1"/>
    <col min="7943" max="7943" width="13.796875" style="1" customWidth="1"/>
    <col min="7944" max="7944" width="14.898437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70.69921875" style="1" customWidth="1"/>
    <col min="8198" max="8198" width="20.09765625" style="1" customWidth="1"/>
    <col min="8199" max="8199" width="13.796875" style="1" customWidth="1"/>
    <col min="8200" max="8200" width="14.898437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70.69921875" style="1" customWidth="1"/>
    <col min="8454" max="8454" width="20.09765625" style="1" customWidth="1"/>
    <col min="8455" max="8455" width="13.796875" style="1" customWidth="1"/>
    <col min="8456" max="8456" width="14.898437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70.69921875" style="1" customWidth="1"/>
    <col min="8710" max="8710" width="20.09765625" style="1" customWidth="1"/>
    <col min="8711" max="8711" width="13.796875" style="1" customWidth="1"/>
    <col min="8712" max="8712" width="14.898437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70.69921875" style="1" customWidth="1"/>
    <col min="8966" max="8966" width="20.09765625" style="1" customWidth="1"/>
    <col min="8967" max="8967" width="13.796875" style="1" customWidth="1"/>
    <col min="8968" max="8968" width="14.898437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70.69921875" style="1" customWidth="1"/>
    <col min="9222" max="9222" width="20.09765625" style="1" customWidth="1"/>
    <col min="9223" max="9223" width="13.796875" style="1" customWidth="1"/>
    <col min="9224" max="9224" width="14.898437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70.69921875" style="1" customWidth="1"/>
    <col min="9478" max="9478" width="20.09765625" style="1" customWidth="1"/>
    <col min="9479" max="9479" width="13.796875" style="1" customWidth="1"/>
    <col min="9480" max="9480" width="14.898437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70.69921875" style="1" customWidth="1"/>
    <col min="9734" max="9734" width="20.09765625" style="1" customWidth="1"/>
    <col min="9735" max="9735" width="13.796875" style="1" customWidth="1"/>
    <col min="9736" max="9736" width="14.898437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70.69921875" style="1" customWidth="1"/>
    <col min="9990" max="9990" width="20.09765625" style="1" customWidth="1"/>
    <col min="9991" max="9991" width="13.796875" style="1" customWidth="1"/>
    <col min="9992" max="9992" width="14.898437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70.69921875" style="1" customWidth="1"/>
    <col min="10246" max="10246" width="20.09765625" style="1" customWidth="1"/>
    <col min="10247" max="10247" width="13.796875" style="1" customWidth="1"/>
    <col min="10248" max="10248" width="14.898437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70.69921875" style="1" customWidth="1"/>
    <col min="10502" max="10502" width="20.09765625" style="1" customWidth="1"/>
    <col min="10503" max="10503" width="13.796875" style="1" customWidth="1"/>
    <col min="10504" max="10504" width="14.898437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70.69921875" style="1" customWidth="1"/>
    <col min="10758" max="10758" width="20.09765625" style="1" customWidth="1"/>
    <col min="10759" max="10759" width="13.796875" style="1" customWidth="1"/>
    <col min="10760" max="10760" width="14.898437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70.69921875" style="1" customWidth="1"/>
    <col min="11014" max="11014" width="20.09765625" style="1" customWidth="1"/>
    <col min="11015" max="11015" width="13.796875" style="1" customWidth="1"/>
    <col min="11016" max="11016" width="14.898437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70.69921875" style="1" customWidth="1"/>
    <col min="11270" max="11270" width="20.09765625" style="1" customWidth="1"/>
    <col min="11271" max="11271" width="13.796875" style="1" customWidth="1"/>
    <col min="11272" max="11272" width="14.898437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70.69921875" style="1" customWidth="1"/>
    <col min="11526" max="11526" width="20.09765625" style="1" customWidth="1"/>
    <col min="11527" max="11527" width="13.796875" style="1" customWidth="1"/>
    <col min="11528" max="11528" width="14.898437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70.69921875" style="1" customWidth="1"/>
    <col min="11782" max="11782" width="20.09765625" style="1" customWidth="1"/>
    <col min="11783" max="11783" width="13.796875" style="1" customWidth="1"/>
    <col min="11784" max="11784" width="14.898437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70.69921875" style="1" customWidth="1"/>
    <col min="12038" max="12038" width="20.09765625" style="1" customWidth="1"/>
    <col min="12039" max="12039" width="13.796875" style="1" customWidth="1"/>
    <col min="12040" max="12040" width="14.898437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70.69921875" style="1" customWidth="1"/>
    <col min="12294" max="12294" width="20.09765625" style="1" customWidth="1"/>
    <col min="12295" max="12295" width="13.796875" style="1" customWidth="1"/>
    <col min="12296" max="12296" width="14.898437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70.69921875" style="1" customWidth="1"/>
    <col min="12550" max="12550" width="20.09765625" style="1" customWidth="1"/>
    <col min="12551" max="12551" width="13.796875" style="1" customWidth="1"/>
    <col min="12552" max="12552" width="14.898437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70.69921875" style="1" customWidth="1"/>
    <col min="12806" max="12806" width="20.09765625" style="1" customWidth="1"/>
    <col min="12807" max="12807" width="13.796875" style="1" customWidth="1"/>
    <col min="12808" max="12808" width="14.898437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70.69921875" style="1" customWidth="1"/>
    <col min="13062" max="13062" width="20.09765625" style="1" customWidth="1"/>
    <col min="13063" max="13063" width="13.796875" style="1" customWidth="1"/>
    <col min="13064" max="13064" width="14.898437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70.69921875" style="1" customWidth="1"/>
    <col min="13318" max="13318" width="20.09765625" style="1" customWidth="1"/>
    <col min="13319" max="13319" width="13.796875" style="1" customWidth="1"/>
    <col min="13320" max="13320" width="14.898437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70.69921875" style="1" customWidth="1"/>
    <col min="13574" max="13574" width="20.09765625" style="1" customWidth="1"/>
    <col min="13575" max="13575" width="13.796875" style="1" customWidth="1"/>
    <col min="13576" max="13576" width="14.898437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70.69921875" style="1" customWidth="1"/>
    <col min="13830" max="13830" width="20.09765625" style="1" customWidth="1"/>
    <col min="13831" max="13831" width="13.796875" style="1" customWidth="1"/>
    <col min="13832" max="13832" width="14.898437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70.69921875" style="1" customWidth="1"/>
    <col min="14086" max="14086" width="20.09765625" style="1" customWidth="1"/>
    <col min="14087" max="14087" width="13.796875" style="1" customWidth="1"/>
    <col min="14088" max="14088" width="14.898437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70.69921875" style="1" customWidth="1"/>
    <col min="14342" max="14342" width="20.09765625" style="1" customWidth="1"/>
    <col min="14343" max="14343" width="13.796875" style="1" customWidth="1"/>
    <col min="14344" max="14344" width="14.898437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70.69921875" style="1" customWidth="1"/>
    <col min="14598" max="14598" width="20.09765625" style="1" customWidth="1"/>
    <col min="14599" max="14599" width="13.796875" style="1" customWidth="1"/>
    <col min="14600" max="14600" width="14.898437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70.69921875" style="1" customWidth="1"/>
    <col min="14854" max="14854" width="20.09765625" style="1" customWidth="1"/>
    <col min="14855" max="14855" width="13.796875" style="1" customWidth="1"/>
    <col min="14856" max="14856" width="14.898437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70.69921875" style="1" customWidth="1"/>
    <col min="15110" max="15110" width="20.09765625" style="1" customWidth="1"/>
    <col min="15111" max="15111" width="13.796875" style="1" customWidth="1"/>
    <col min="15112" max="15112" width="14.898437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70.69921875" style="1" customWidth="1"/>
    <col min="15366" max="15366" width="20.09765625" style="1" customWidth="1"/>
    <col min="15367" max="15367" width="13.796875" style="1" customWidth="1"/>
    <col min="15368" max="15368" width="14.898437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70.69921875" style="1" customWidth="1"/>
    <col min="15622" max="15622" width="20.09765625" style="1" customWidth="1"/>
    <col min="15623" max="15623" width="13.796875" style="1" customWidth="1"/>
    <col min="15624" max="15624" width="14.898437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70.69921875" style="1" customWidth="1"/>
    <col min="15878" max="15878" width="20.09765625" style="1" customWidth="1"/>
    <col min="15879" max="15879" width="13.796875" style="1" customWidth="1"/>
    <col min="15880" max="15880" width="14.898437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70.69921875" style="1" customWidth="1"/>
    <col min="16134" max="16134" width="20.09765625" style="1" customWidth="1"/>
    <col min="16135" max="16135" width="13.796875" style="1" customWidth="1"/>
    <col min="16136" max="16136" width="14.898437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40.5" customHeight="1" x14ac:dyDescent="0.25">
      <c r="B3" s="5" t="s">
        <v>88</v>
      </c>
      <c r="C3" s="5" t="s">
        <v>71</v>
      </c>
      <c r="D3" s="5" t="s">
        <v>72</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51.05000000000001" customHeight="1" x14ac:dyDescent="0.25">
      <c r="B8" s="7" t="s">
        <v>283</v>
      </c>
      <c r="C8" s="5" t="s">
        <v>284</v>
      </c>
      <c r="D8" s="12" t="s">
        <v>425</v>
      </c>
      <c r="E8" s="5"/>
      <c r="F8" s="5"/>
      <c r="G8" s="7"/>
      <c r="H8" s="7"/>
      <c r="I8" s="11"/>
      <c r="J8" s="7"/>
    </row>
    <row r="9" spans="1:10" ht="24" x14ac:dyDescent="0.25">
      <c r="B9" s="7" t="s">
        <v>24</v>
      </c>
      <c r="C9" s="5" t="s">
        <v>287</v>
      </c>
      <c r="D9" s="8" t="s">
        <v>288</v>
      </c>
      <c r="E9" s="5"/>
      <c r="F9" s="5"/>
      <c r="G9" s="7"/>
      <c r="H9" s="7"/>
      <c r="I9" s="11"/>
      <c r="J9" s="7"/>
    </row>
    <row r="10" spans="1:10" ht="36" customHeight="1" x14ac:dyDescent="0.25">
      <c r="B10" s="7" t="s">
        <v>289</v>
      </c>
      <c r="C10" s="7" t="s">
        <v>290</v>
      </c>
      <c r="D10" s="8" t="s">
        <v>426</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sheetData>
  <mergeCells count="3">
    <mergeCell ref="B1:E1"/>
    <mergeCell ref="B6:J6"/>
    <mergeCell ref="B16:D16"/>
  </mergeCells>
  <phoneticPr fontId="29" type="noConversion"/>
  <dataValidations count="2">
    <dataValidation type="list" allowBlank="1" showInputMessage="1" showErrorMessage="1" sqref="E3" xr:uid="{00000000-0002-0000-26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2600-000001000000}">
      <formula1>"正确,错误"</formula1>
    </dataValidation>
  </dataValidations>
  <hyperlinks>
    <hyperlink ref="A1" location="UAT测试案例清单!A1" display="返回" xr:uid="{00000000-0004-0000-2600-000000000000}"/>
  </hyperlinks>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J18"/>
  <sheetViews>
    <sheetView zoomScale="96" zoomScaleNormal="96" workbookViewId="0">
      <selection activeCell="F35" sqref="F35"/>
    </sheetView>
  </sheetViews>
  <sheetFormatPr defaultColWidth="9" defaultRowHeight="12" x14ac:dyDescent="0.25"/>
  <cols>
    <col min="1" max="1" width="6.59765625" style="1" customWidth="1"/>
    <col min="2" max="2" width="19.69921875" style="1" customWidth="1"/>
    <col min="3" max="3" width="25.69921875" style="1" customWidth="1"/>
    <col min="4" max="4" width="64.19921875" style="1" customWidth="1"/>
    <col min="5" max="5" width="20.09765625" style="1" customWidth="1"/>
    <col min="6" max="6" width="13.796875" style="1" customWidth="1"/>
    <col min="7" max="7" width="14.898437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64.19921875" style="1" customWidth="1"/>
    <col min="262" max="262" width="20.09765625" style="1" customWidth="1"/>
    <col min="263" max="263" width="13.796875" style="1" customWidth="1"/>
    <col min="264" max="264" width="14.898437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64.19921875" style="1" customWidth="1"/>
    <col min="518" max="518" width="20.09765625" style="1" customWidth="1"/>
    <col min="519" max="519" width="13.796875" style="1" customWidth="1"/>
    <col min="520" max="520" width="14.898437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64.19921875" style="1" customWidth="1"/>
    <col min="774" max="774" width="20.09765625" style="1" customWidth="1"/>
    <col min="775" max="775" width="13.796875" style="1" customWidth="1"/>
    <col min="776" max="776" width="14.898437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64.19921875" style="1" customWidth="1"/>
    <col min="1030" max="1030" width="20.09765625" style="1" customWidth="1"/>
    <col min="1031" max="1031" width="13.796875" style="1" customWidth="1"/>
    <col min="1032" max="1032" width="14.898437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64.19921875" style="1" customWidth="1"/>
    <col min="1286" max="1286" width="20.09765625" style="1" customWidth="1"/>
    <col min="1287" max="1287" width="13.796875" style="1" customWidth="1"/>
    <col min="1288" max="1288" width="14.898437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64.19921875" style="1" customWidth="1"/>
    <col min="1542" max="1542" width="20.09765625" style="1" customWidth="1"/>
    <col min="1543" max="1543" width="13.796875" style="1" customWidth="1"/>
    <col min="1544" max="1544" width="14.898437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64.19921875" style="1" customWidth="1"/>
    <col min="1798" max="1798" width="20.09765625" style="1" customWidth="1"/>
    <col min="1799" max="1799" width="13.796875" style="1" customWidth="1"/>
    <col min="1800" max="1800" width="14.898437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64.19921875" style="1" customWidth="1"/>
    <col min="2054" max="2054" width="20.09765625" style="1" customWidth="1"/>
    <col min="2055" max="2055" width="13.796875" style="1" customWidth="1"/>
    <col min="2056" max="2056" width="14.898437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64.19921875" style="1" customWidth="1"/>
    <col min="2310" max="2310" width="20.09765625" style="1" customWidth="1"/>
    <col min="2311" max="2311" width="13.796875" style="1" customWidth="1"/>
    <col min="2312" max="2312" width="14.898437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64.19921875" style="1" customWidth="1"/>
    <col min="2566" max="2566" width="20.09765625" style="1" customWidth="1"/>
    <col min="2567" max="2567" width="13.796875" style="1" customWidth="1"/>
    <col min="2568" max="2568" width="14.898437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64.19921875" style="1" customWidth="1"/>
    <col min="2822" max="2822" width="20.09765625" style="1" customWidth="1"/>
    <col min="2823" max="2823" width="13.796875" style="1" customWidth="1"/>
    <col min="2824" max="2824" width="14.898437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64.19921875" style="1" customWidth="1"/>
    <col min="3078" max="3078" width="20.09765625" style="1" customWidth="1"/>
    <col min="3079" max="3079" width="13.796875" style="1" customWidth="1"/>
    <col min="3080" max="3080" width="14.898437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64.19921875" style="1" customWidth="1"/>
    <col min="3334" max="3334" width="20.09765625" style="1" customWidth="1"/>
    <col min="3335" max="3335" width="13.796875" style="1" customWidth="1"/>
    <col min="3336" max="3336" width="14.898437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64.19921875" style="1" customWidth="1"/>
    <col min="3590" max="3590" width="20.09765625" style="1" customWidth="1"/>
    <col min="3591" max="3591" width="13.796875" style="1" customWidth="1"/>
    <col min="3592" max="3592" width="14.898437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64.19921875" style="1" customWidth="1"/>
    <col min="3846" max="3846" width="20.09765625" style="1" customWidth="1"/>
    <col min="3847" max="3847" width="13.796875" style="1" customWidth="1"/>
    <col min="3848" max="3848" width="14.898437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64.19921875" style="1" customWidth="1"/>
    <col min="4102" max="4102" width="20.09765625" style="1" customWidth="1"/>
    <col min="4103" max="4103" width="13.796875" style="1" customWidth="1"/>
    <col min="4104" max="4104" width="14.898437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64.19921875" style="1" customWidth="1"/>
    <col min="4358" max="4358" width="20.09765625" style="1" customWidth="1"/>
    <col min="4359" max="4359" width="13.796875" style="1" customWidth="1"/>
    <col min="4360" max="4360" width="14.898437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64.19921875" style="1" customWidth="1"/>
    <col min="4614" max="4614" width="20.09765625" style="1" customWidth="1"/>
    <col min="4615" max="4615" width="13.796875" style="1" customWidth="1"/>
    <col min="4616" max="4616" width="14.898437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64.19921875" style="1" customWidth="1"/>
    <col min="4870" max="4870" width="20.09765625" style="1" customWidth="1"/>
    <col min="4871" max="4871" width="13.796875" style="1" customWidth="1"/>
    <col min="4872" max="4872" width="14.898437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64.19921875" style="1" customWidth="1"/>
    <col min="5126" max="5126" width="20.09765625" style="1" customWidth="1"/>
    <col min="5127" max="5127" width="13.796875" style="1" customWidth="1"/>
    <col min="5128" max="5128" width="14.898437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64.19921875" style="1" customWidth="1"/>
    <col min="5382" max="5382" width="20.09765625" style="1" customWidth="1"/>
    <col min="5383" max="5383" width="13.796875" style="1" customWidth="1"/>
    <col min="5384" max="5384" width="14.898437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64.19921875" style="1" customWidth="1"/>
    <col min="5638" max="5638" width="20.09765625" style="1" customWidth="1"/>
    <col min="5639" max="5639" width="13.796875" style="1" customWidth="1"/>
    <col min="5640" max="5640" width="14.898437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64.19921875" style="1" customWidth="1"/>
    <col min="5894" max="5894" width="20.09765625" style="1" customWidth="1"/>
    <col min="5895" max="5895" width="13.796875" style="1" customWidth="1"/>
    <col min="5896" max="5896" width="14.898437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64.19921875" style="1" customWidth="1"/>
    <col min="6150" max="6150" width="20.09765625" style="1" customWidth="1"/>
    <col min="6151" max="6151" width="13.796875" style="1" customWidth="1"/>
    <col min="6152" max="6152" width="14.898437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64.19921875" style="1" customWidth="1"/>
    <col min="6406" max="6406" width="20.09765625" style="1" customWidth="1"/>
    <col min="6407" max="6407" width="13.796875" style="1" customWidth="1"/>
    <col min="6408" max="6408" width="14.898437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64.19921875" style="1" customWidth="1"/>
    <col min="6662" max="6662" width="20.09765625" style="1" customWidth="1"/>
    <col min="6663" max="6663" width="13.796875" style="1" customWidth="1"/>
    <col min="6664" max="6664" width="14.898437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64.19921875" style="1" customWidth="1"/>
    <col min="6918" max="6918" width="20.09765625" style="1" customWidth="1"/>
    <col min="6919" max="6919" width="13.796875" style="1" customWidth="1"/>
    <col min="6920" max="6920" width="14.898437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64.19921875" style="1" customWidth="1"/>
    <col min="7174" max="7174" width="20.09765625" style="1" customWidth="1"/>
    <col min="7175" max="7175" width="13.796875" style="1" customWidth="1"/>
    <col min="7176" max="7176" width="14.898437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64.19921875" style="1" customWidth="1"/>
    <col min="7430" max="7430" width="20.09765625" style="1" customWidth="1"/>
    <col min="7431" max="7431" width="13.796875" style="1" customWidth="1"/>
    <col min="7432" max="7432" width="14.898437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64.19921875" style="1" customWidth="1"/>
    <col min="7686" max="7686" width="20.09765625" style="1" customWidth="1"/>
    <col min="7687" max="7687" width="13.796875" style="1" customWidth="1"/>
    <col min="7688" max="7688" width="14.898437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64.19921875" style="1" customWidth="1"/>
    <col min="7942" max="7942" width="20.09765625" style="1" customWidth="1"/>
    <col min="7943" max="7943" width="13.796875" style="1" customWidth="1"/>
    <col min="7944" max="7944" width="14.898437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64.19921875" style="1" customWidth="1"/>
    <col min="8198" max="8198" width="20.09765625" style="1" customWidth="1"/>
    <col min="8199" max="8199" width="13.796875" style="1" customWidth="1"/>
    <col min="8200" max="8200" width="14.898437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64.19921875" style="1" customWidth="1"/>
    <col min="8454" max="8454" width="20.09765625" style="1" customWidth="1"/>
    <col min="8455" max="8455" width="13.796875" style="1" customWidth="1"/>
    <col min="8456" max="8456" width="14.898437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64.19921875" style="1" customWidth="1"/>
    <col min="8710" max="8710" width="20.09765625" style="1" customWidth="1"/>
    <col min="8711" max="8711" width="13.796875" style="1" customWidth="1"/>
    <col min="8712" max="8712" width="14.898437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64.19921875" style="1" customWidth="1"/>
    <col min="8966" max="8966" width="20.09765625" style="1" customWidth="1"/>
    <col min="8967" max="8967" width="13.796875" style="1" customWidth="1"/>
    <col min="8968" max="8968" width="14.898437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64.19921875" style="1" customWidth="1"/>
    <col min="9222" max="9222" width="20.09765625" style="1" customWidth="1"/>
    <col min="9223" max="9223" width="13.796875" style="1" customWidth="1"/>
    <col min="9224" max="9224" width="14.898437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64.19921875" style="1" customWidth="1"/>
    <col min="9478" max="9478" width="20.09765625" style="1" customWidth="1"/>
    <col min="9479" max="9479" width="13.796875" style="1" customWidth="1"/>
    <col min="9480" max="9480" width="14.898437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64.19921875" style="1" customWidth="1"/>
    <col min="9734" max="9734" width="20.09765625" style="1" customWidth="1"/>
    <col min="9735" max="9735" width="13.796875" style="1" customWidth="1"/>
    <col min="9736" max="9736" width="14.898437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64.19921875" style="1" customWidth="1"/>
    <col min="9990" max="9990" width="20.09765625" style="1" customWidth="1"/>
    <col min="9991" max="9991" width="13.796875" style="1" customWidth="1"/>
    <col min="9992" max="9992" width="14.898437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64.19921875" style="1" customWidth="1"/>
    <col min="10246" max="10246" width="20.09765625" style="1" customWidth="1"/>
    <col min="10247" max="10247" width="13.796875" style="1" customWidth="1"/>
    <col min="10248" max="10248" width="14.898437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64.19921875" style="1" customWidth="1"/>
    <col min="10502" max="10502" width="20.09765625" style="1" customWidth="1"/>
    <col min="10503" max="10503" width="13.796875" style="1" customWidth="1"/>
    <col min="10504" max="10504" width="14.898437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64.19921875" style="1" customWidth="1"/>
    <col min="10758" max="10758" width="20.09765625" style="1" customWidth="1"/>
    <col min="10759" max="10759" width="13.796875" style="1" customWidth="1"/>
    <col min="10760" max="10760" width="14.898437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64.19921875" style="1" customWidth="1"/>
    <col min="11014" max="11014" width="20.09765625" style="1" customWidth="1"/>
    <col min="11015" max="11015" width="13.796875" style="1" customWidth="1"/>
    <col min="11016" max="11016" width="14.898437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64.19921875" style="1" customWidth="1"/>
    <col min="11270" max="11270" width="20.09765625" style="1" customWidth="1"/>
    <col min="11271" max="11271" width="13.796875" style="1" customWidth="1"/>
    <col min="11272" max="11272" width="14.898437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64.19921875" style="1" customWidth="1"/>
    <col min="11526" max="11526" width="20.09765625" style="1" customWidth="1"/>
    <col min="11527" max="11527" width="13.796875" style="1" customWidth="1"/>
    <col min="11528" max="11528" width="14.898437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64.19921875" style="1" customWidth="1"/>
    <col min="11782" max="11782" width="20.09765625" style="1" customWidth="1"/>
    <col min="11783" max="11783" width="13.796875" style="1" customWidth="1"/>
    <col min="11784" max="11784" width="14.898437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64.19921875" style="1" customWidth="1"/>
    <col min="12038" max="12038" width="20.09765625" style="1" customWidth="1"/>
    <col min="12039" max="12039" width="13.796875" style="1" customWidth="1"/>
    <col min="12040" max="12040" width="14.898437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64.19921875" style="1" customWidth="1"/>
    <col min="12294" max="12294" width="20.09765625" style="1" customWidth="1"/>
    <col min="12295" max="12295" width="13.796875" style="1" customWidth="1"/>
    <col min="12296" max="12296" width="14.898437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64.19921875" style="1" customWidth="1"/>
    <col min="12550" max="12550" width="20.09765625" style="1" customWidth="1"/>
    <col min="12551" max="12551" width="13.796875" style="1" customWidth="1"/>
    <col min="12552" max="12552" width="14.898437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64.19921875" style="1" customWidth="1"/>
    <col min="12806" max="12806" width="20.09765625" style="1" customWidth="1"/>
    <col min="12807" max="12807" width="13.796875" style="1" customWidth="1"/>
    <col min="12808" max="12808" width="14.898437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64.19921875" style="1" customWidth="1"/>
    <col min="13062" max="13062" width="20.09765625" style="1" customWidth="1"/>
    <col min="13063" max="13063" width="13.796875" style="1" customWidth="1"/>
    <col min="13064" max="13064" width="14.898437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64.19921875" style="1" customWidth="1"/>
    <col min="13318" max="13318" width="20.09765625" style="1" customWidth="1"/>
    <col min="13319" max="13319" width="13.796875" style="1" customWidth="1"/>
    <col min="13320" max="13320" width="14.898437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64.19921875" style="1" customWidth="1"/>
    <col min="13574" max="13574" width="20.09765625" style="1" customWidth="1"/>
    <col min="13575" max="13575" width="13.796875" style="1" customWidth="1"/>
    <col min="13576" max="13576" width="14.898437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64.19921875" style="1" customWidth="1"/>
    <col min="13830" max="13830" width="20.09765625" style="1" customWidth="1"/>
    <col min="13831" max="13831" width="13.796875" style="1" customWidth="1"/>
    <col min="13832" max="13832" width="14.898437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64.19921875" style="1" customWidth="1"/>
    <col min="14086" max="14086" width="20.09765625" style="1" customWidth="1"/>
    <col min="14087" max="14087" width="13.796875" style="1" customWidth="1"/>
    <col min="14088" max="14088" width="14.898437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64.19921875" style="1" customWidth="1"/>
    <col min="14342" max="14342" width="20.09765625" style="1" customWidth="1"/>
    <col min="14343" max="14343" width="13.796875" style="1" customWidth="1"/>
    <col min="14344" max="14344" width="14.898437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64.19921875" style="1" customWidth="1"/>
    <col min="14598" max="14598" width="20.09765625" style="1" customWidth="1"/>
    <col min="14599" max="14599" width="13.796875" style="1" customWidth="1"/>
    <col min="14600" max="14600" width="14.898437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64.19921875" style="1" customWidth="1"/>
    <col min="14854" max="14854" width="20.09765625" style="1" customWidth="1"/>
    <col min="14855" max="14855" width="13.796875" style="1" customWidth="1"/>
    <col min="14856" max="14856" width="14.898437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64.19921875" style="1" customWidth="1"/>
    <col min="15110" max="15110" width="20.09765625" style="1" customWidth="1"/>
    <col min="15111" max="15111" width="13.796875" style="1" customWidth="1"/>
    <col min="15112" max="15112" width="14.898437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64.19921875" style="1" customWidth="1"/>
    <col min="15366" max="15366" width="20.09765625" style="1" customWidth="1"/>
    <col min="15367" max="15367" width="13.796875" style="1" customWidth="1"/>
    <col min="15368" max="15368" width="14.898437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64.19921875" style="1" customWidth="1"/>
    <col min="15622" max="15622" width="20.09765625" style="1" customWidth="1"/>
    <col min="15623" max="15623" width="13.796875" style="1" customWidth="1"/>
    <col min="15624" max="15624" width="14.898437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64.19921875" style="1" customWidth="1"/>
    <col min="15878" max="15878" width="20.09765625" style="1" customWidth="1"/>
    <col min="15879" max="15879" width="13.796875" style="1" customWidth="1"/>
    <col min="15880" max="15880" width="14.898437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64.19921875" style="1" customWidth="1"/>
    <col min="16134" max="16134" width="20.09765625" style="1" customWidth="1"/>
    <col min="16135" max="16135" width="13.796875" style="1" customWidth="1"/>
    <col min="16136" max="16136" width="14.898437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40.5" customHeight="1" x14ac:dyDescent="0.25">
      <c r="B3" s="5" t="s">
        <v>88</v>
      </c>
      <c r="C3" s="5" t="s">
        <v>73</v>
      </c>
      <c r="D3" s="5" t="s">
        <v>74</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90" customHeight="1" x14ac:dyDescent="0.25">
      <c r="B8" s="7" t="s">
        <v>283</v>
      </c>
      <c r="C8" s="5" t="s">
        <v>284</v>
      </c>
      <c r="D8" s="12" t="s">
        <v>427</v>
      </c>
      <c r="E8" s="5"/>
      <c r="F8" s="5"/>
      <c r="G8" s="7"/>
      <c r="H8" s="7"/>
      <c r="I8" s="11"/>
      <c r="J8" s="7"/>
    </row>
    <row r="9" spans="1:10" ht="76.05" customHeight="1" x14ac:dyDescent="0.25">
      <c r="B9" s="7" t="s">
        <v>24</v>
      </c>
      <c r="C9" s="5" t="s">
        <v>287</v>
      </c>
      <c r="D9" s="8" t="s">
        <v>288</v>
      </c>
      <c r="E9" s="5"/>
      <c r="F9" s="5"/>
      <c r="G9" s="7"/>
      <c r="H9" s="7"/>
      <c r="I9" s="11"/>
      <c r="J9" s="7"/>
    </row>
    <row r="10" spans="1:10" ht="31.8" customHeight="1" x14ac:dyDescent="0.25">
      <c r="B10" s="7" t="s">
        <v>289</v>
      </c>
      <c r="C10" s="7" t="s">
        <v>290</v>
      </c>
      <c r="D10" s="8" t="s">
        <v>428</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sheetData>
  <mergeCells count="3">
    <mergeCell ref="B1:E1"/>
    <mergeCell ref="B6:J6"/>
    <mergeCell ref="B16:D16"/>
  </mergeCells>
  <phoneticPr fontId="29" type="noConversion"/>
  <dataValidations count="2">
    <dataValidation type="list" allowBlank="1" showInputMessage="1" showErrorMessage="1" sqref="E3" xr:uid="{00000000-0002-0000-27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2700-000001000000}">
      <formula1>"正确,错误"</formula1>
    </dataValidation>
  </dataValidations>
  <hyperlinks>
    <hyperlink ref="A1" location="UAT测试案例清单!A1" display="返回" xr:uid="{00000000-0004-0000-27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J20"/>
  <sheetViews>
    <sheetView workbookViewId="0"/>
  </sheetViews>
  <sheetFormatPr defaultColWidth="9" defaultRowHeight="12" x14ac:dyDescent="0.25"/>
  <cols>
    <col min="1" max="1" width="6.59765625" style="1" customWidth="1"/>
    <col min="2" max="2" width="19.69921875" style="1" customWidth="1"/>
    <col min="3" max="3" width="25.69921875" style="1" customWidth="1"/>
    <col min="4" max="4" width="64.19921875" style="1" customWidth="1"/>
    <col min="5" max="5" width="20.09765625" style="1" customWidth="1"/>
    <col min="6" max="6" width="13.796875" style="1" customWidth="1"/>
    <col min="7" max="7" width="14.898437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64.19921875" style="1" customWidth="1"/>
    <col min="262" max="262" width="20.09765625" style="1" customWidth="1"/>
    <col min="263" max="263" width="13.796875" style="1" customWidth="1"/>
    <col min="264" max="264" width="14.898437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64.19921875" style="1" customWidth="1"/>
    <col min="518" max="518" width="20.09765625" style="1" customWidth="1"/>
    <col min="519" max="519" width="13.796875" style="1" customWidth="1"/>
    <col min="520" max="520" width="14.898437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64.19921875" style="1" customWidth="1"/>
    <col min="774" max="774" width="20.09765625" style="1" customWidth="1"/>
    <col min="775" max="775" width="13.796875" style="1" customWidth="1"/>
    <col min="776" max="776" width="14.898437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64.19921875" style="1" customWidth="1"/>
    <col min="1030" max="1030" width="20.09765625" style="1" customWidth="1"/>
    <col min="1031" max="1031" width="13.796875" style="1" customWidth="1"/>
    <col min="1032" max="1032" width="14.898437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64.19921875" style="1" customWidth="1"/>
    <col min="1286" max="1286" width="20.09765625" style="1" customWidth="1"/>
    <col min="1287" max="1287" width="13.796875" style="1" customWidth="1"/>
    <col min="1288" max="1288" width="14.898437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64.19921875" style="1" customWidth="1"/>
    <col min="1542" max="1542" width="20.09765625" style="1" customWidth="1"/>
    <col min="1543" max="1543" width="13.796875" style="1" customWidth="1"/>
    <col min="1544" max="1544" width="14.898437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64.19921875" style="1" customWidth="1"/>
    <col min="1798" max="1798" width="20.09765625" style="1" customWidth="1"/>
    <col min="1799" max="1799" width="13.796875" style="1" customWidth="1"/>
    <col min="1800" max="1800" width="14.898437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64.19921875" style="1" customWidth="1"/>
    <col min="2054" max="2054" width="20.09765625" style="1" customWidth="1"/>
    <col min="2055" max="2055" width="13.796875" style="1" customWidth="1"/>
    <col min="2056" max="2056" width="14.898437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64.19921875" style="1" customWidth="1"/>
    <col min="2310" max="2310" width="20.09765625" style="1" customWidth="1"/>
    <col min="2311" max="2311" width="13.796875" style="1" customWidth="1"/>
    <col min="2312" max="2312" width="14.898437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64.19921875" style="1" customWidth="1"/>
    <col min="2566" max="2566" width="20.09765625" style="1" customWidth="1"/>
    <col min="2567" max="2567" width="13.796875" style="1" customWidth="1"/>
    <col min="2568" max="2568" width="14.898437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64.19921875" style="1" customWidth="1"/>
    <col min="2822" max="2822" width="20.09765625" style="1" customWidth="1"/>
    <col min="2823" max="2823" width="13.796875" style="1" customWidth="1"/>
    <col min="2824" max="2824" width="14.898437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64.19921875" style="1" customWidth="1"/>
    <col min="3078" max="3078" width="20.09765625" style="1" customWidth="1"/>
    <col min="3079" max="3079" width="13.796875" style="1" customWidth="1"/>
    <col min="3080" max="3080" width="14.898437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64.19921875" style="1" customWidth="1"/>
    <col min="3334" max="3334" width="20.09765625" style="1" customWidth="1"/>
    <col min="3335" max="3335" width="13.796875" style="1" customWidth="1"/>
    <col min="3336" max="3336" width="14.898437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64.19921875" style="1" customWidth="1"/>
    <col min="3590" max="3590" width="20.09765625" style="1" customWidth="1"/>
    <col min="3591" max="3591" width="13.796875" style="1" customWidth="1"/>
    <col min="3592" max="3592" width="14.898437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64.19921875" style="1" customWidth="1"/>
    <col min="3846" max="3846" width="20.09765625" style="1" customWidth="1"/>
    <col min="3847" max="3847" width="13.796875" style="1" customWidth="1"/>
    <col min="3848" max="3848" width="14.898437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64.19921875" style="1" customWidth="1"/>
    <col min="4102" max="4102" width="20.09765625" style="1" customWidth="1"/>
    <col min="4103" max="4103" width="13.796875" style="1" customWidth="1"/>
    <col min="4104" max="4104" width="14.898437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64.19921875" style="1" customWidth="1"/>
    <col min="4358" max="4358" width="20.09765625" style="1" customWidth="1"/>
    <col min="4359" max="4359" width="13.796875" style="1" customWidth="1"/>
    <col min="4360" max="4360" width="14.898437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64.19921875" style="1" customWidth="1"/>
    <col min="4614" max="4614" width="20.09765625" style="1" customWidth="1"/>
    <col min="4615" max="4615" width="13.796875" style="1" customWidth="1"/>
    <col min="4616" max="4616" width="14.898437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64.19921875" style="1" customWidth="1"/>
    <col min="4870" max="4870" width="20.09765625" style="1" customWidth="1"/>
    <col min="4871" max="4871" width="13.796875" style="1" customWidth="1"/>
    <col min="4872" max="4872" width="14.898437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64.19921875" style="1" customWidth="1"/>
    <col min="5126" max="5126" width="20.09765625" style="1" customWidth="1"/>
    <col min="5127" max="5127" width="13.796875" style="1" customWidth="1"/>
    <col min="5128" max="5128" width="14.898437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64.19921875" style="1" customWidth="1"/>
    <col min="5382" max="5382" width="20.09765625" style="1" customWidth="1"/>
    <col min="5383" max="5383" width="13.796875" style="1" customWidth="1"/>
    <col min="5384" max="5384" width="14.898437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64.19921875" style="1" customWidth="1"/>
    <col min="5638" max="5638" width="20.09765625" style="1" customWidth="1"/>
    <col min="5639" max="5639" width="13.796875" style="1" customWidth="1"/>
    <col min="5640" max="5640" width="14.898437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64.19921875" style="1" customWidth="1"/>
    <col min="5894" max="5894" width="20.09765625" style="1" customWidth="1"/>
    <col min="5895" max="5895" width="13.796875" style="1" customWidth="1"/>
    <col min="5896" max="5896" width="14.898437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64.19921875" style="1" customWidth="1"/>
    <col min="6150" max="6150" width="20.09765625" style="1" customWidth="1"/>
    <col min="6151" max="6151" width="13.796875" style="1" customWidth="1"/>
    <col min="6152" max="6152" width="14.898437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64.19921875" style="1" customWidth="1"/>
    <col min="6406" max="6406" width="20.09765625" style="1" customWidth="1"/>
    <col min="6407" max="6407" width="13.796875" style="1" customWidth="1"/>
    <col min="6408" max="6408" width="14.898437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64.19921875" style="1" customWidth="1"/>
    <col min="6662" max="6662" width="20.09765625" style="1" customWidth="1"/>
    <col min="6663" max="6663" width="13.796875" style="1" customWidth="1"/>
    <col min="6664" max="6664" width="14.898437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64.19921875" style="1" customWidth="1"/>
    <col min="6918" max="6918" width="20.09765625" style="1" customWidth="1"/>
    <col min="6919" max="6919" width="13.796875" style="1" customWidth="1"/>
    <col min="6920" max="6920" width="14.898437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64.19921875" style="1" customWidth="1"/>
    <col min="7174" max="7174" width="20.09765625" style="1" customWidth="1"/>
    <col min="7175" max="7175" width="13.796875" style="1" customWidth="1"/>
    <col min="7176" max="7176" width="14.898437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64.19921875" style="1" customWidth="1"/>
    <col min="7430" max="7430" width="20.09765625" style="1" customWidth="1"/>
    <col min="7431" max="7431" width="13.796875" style="1" customWidth="1"/>
    <col min="7432" max="7432" width="14.898437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64.19921875" style="1" customWidth="1"/>
    <col min="7686" max="7686" width="20.09765625" style="1" customWidth="1"/>
    <col min="7687" max="7687" width="13.796875" style="1" customWidth="1"/>
    <col min="7688" max="7688" width="14.898437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64.19921875" style="1" customWidth="1"/>
    <col min="7942" max="7942" width="20.09765625" style="1" customWidth="1"/>
    <col min="7943" max="7943" width="13.796875" style="1" customWidth="1"/>
    <col min="7944" max="7944" width="14.898437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64.19921875" style="1" customWidth="1"/>
    <col min="8198" max="8198" width="20.09765625" style="1" customWidth="1"/>
    <col min="8199" max="8199" width="13.796875" style="1" customWidth="1"/>
    <col min="8200" max="8200" width="14.898437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64.19921875" style="1" customWidth="1"/>
    <col min="8454" max="8454" width="20.09765625" style="1" customWidth="1"/>
    <col min="8455" max="8455" width="13.796875" style="1" customWidth="1"/>
    <col min="8456" max="8456" width="14.898437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64.19921875" style="1" customWidth="1"/>
    <col min="8710" max="8710" width="20.09765625" style="1" customWidth="1"/>
    <col min="8711" max="8711" width="13.796875" style="1" customWidth="1"/>
    <col min="8712" max="8712" width="14.898437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64.19921875" style="1" customWidth="1"/>
    <col min="8966" max="8966" width="20.09765625" style="1" customWidth="1"/>
    <col min="8967" max="8967" width="13.796875" style="1" customWidth="1"/>
    <col min="8968" max="8968" width="14.898437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64.19921875" style="1" customWidth="1"/>
    <col min="9222" max="9222" width="20.09765625" style="1" customWidth="1"/>
    <col min="9223" max="9223" width="13.796875" style="1" customWidth="1"/>
    <col min="9224" max="9224" width="14.898437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64.19921875" style="1" customWidth="1"/>
    <col min="9478" max="9478" width="20.09765625" style="1" customWidth="1"/>
    <col min="9479" max="9479" width="13.796875" style="1" customWidth="1"/>
    <col min="9480" max="9480" width="14.898437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64.19921875" style="1" customWidth="1"/>
    <col min="9734" max="9734" width="20.09765625" style="1" customWidth="1"/>
    <col min="9735" max="9735" width="13.796875" style="1" customWidth="1"/>
    <col min="9736" max="9736" width="14.898437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64.19921875" style="1" customWidth="1"/>
    <col min="9990" max="9990" width="20.09765625" style="1" customWidth="1"/>
    <col min="9991" max="9991" width="13.796875" style="1" customWidth="1"/>
    <col min="9992" max="9992" width="14.898437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64.19921875" style="1" customWidth="1"/>
    <col min="10246" max="10246" width="20.09765625" style="1" customWidth="1"/>
    <col min="10247" max="10247" width="13.796875" style="1" customWidth="1"/>
    <col min="10248" max="10248" width="14.898437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64.19921875" style="1" customWidth="1"/>
    <col min="10502" max="10502" width="20.09765625" style="1" customWidth="1"/>
    <col min="10503" max="10503" width="13.796875" style="1" customWidth="1"/>
    <col min="10504" max="10504" width="14.898437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64.19921875" style="1" customWidth="1"/>
    <col min="10758" max="10758" width="20.09765625" style="1" customWidth="1"/>
    <col min="10759" max="10759" width="13.796875" style="1" customWidth="1"/>
    <col min="10760" max="10760" width="14.898437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64.19921875" style="1" customWidth="1"/>
    <col min="11014" max="11014" width="20.09765625" style="1" customWidth="1"/>
    <col min="11015" max="11015" width="13.796875" style="1" customWidth="1"/>
    <col min="11016" max="11016" width="14.898437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64.19921875" style="1" customWidth="1"/>
    <col min="11270" max="11270" width="20.09765625" style="1" customWidth="1"/>
    <col min="11271" max="11271" width="13.796875" style="1" customWidth="1"/>
    <col min="11272" max="11272" width="14.898437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64.19921875" style="1" customWidth="1"/>
    <col min="11526" max="11526" width="20.09765625" style="1" customWidth="1"/>
    <col min="11527" max="11527" width="13.796875" style="1" customWidth="1"/>
    <col min="11528" max="11528" width="14.898437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64.19921875" style="1" customWidth="1"/>
    <col min="11782" max="11782" width="20.09765625" style="1" customWidth="1"/>
    <col min="11783" max="11783" width="13.796875" style="1" customWidth="1"/>
    <col min="11784" max="11784" width="14.898437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64.19921875" style="1" customWidth="1"/>
    <col min="12038" max="12038" width="20.09765625" style="1" customWidth="1"/>
    <col min="12039" max="12039" width="13.796875" style="1" customWidth="1"/>
    <col min="12040" max="12040" width="14.898437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64.19921875" style="1" customWidth="1"/>
    <col min="12294" max="12294" width="20.09765625" style="1" customWidth="1"/>
    <col min="12295" max="12295" width="13.796875" style="1" customWidth="1"/>
    <col min="12296" max="12296" width="14.898437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64.19921875" style="1" customWidth="1"/>
    <col min="12550" max="12550" width="20.09765625" style="1" customWidth="1"/>
    <col min="12551" max="12551" width="13.796875" style="1" customWidth="1"/>
    <col min="12552" max="12552" width="14.898437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64.19921875" style="1" customWidth="1"/>
    <col min="12806" max="12806" width="20.09765625" style="1" customWidth="1"/>
    <col min="12807" max="12807" width="13.796875" style="1" customWidth="1"/>
    <col min="12808" max="12808" width="14.898437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64.19921875" style="1" customWidth="1"/>
    <col min="13062" max="13062" width="20.09765625" style="1" customWidth="1"/>
    <col min="13063" max="13063" width="13.796875" style="1" customWidth="1"/>
    <col min="13064" max="13064" width="14.898437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64.19921875" style="1" customWidth="1"/>
    <col min="13318" max="13318" width="20.09765625" style="1" customWidth="1"/>
    <col min="13319" max="13319" width="13.796875" style="1" customWidth="1"/>
    <col min="13320" max="13320" width="14.898437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64.19921875" style="1" customWidth="1"/>
    <col min="13574" max="13574" width="20.09765625" style="1" customWidth="1"/>
    <col min="13575" max="13575" width="13.796875" style="1" customWidth="1"/>
    <col min="13576" max="13576" width="14.898437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64.19921875" style="1" customWidth="1"/>
    <col min="13830" max="13830" width="20.09765625" style="1" customWidth="1"/>
    <col min="13831" max="13831" width="13.796875" style="1" customWidth="1"/>
    <col min="13832" max="13832" width="14.898437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64.19921875" style="1" customWidth="1"/>
    <col min="14086" max="14086" width="20.09765625" style="1" customWidth="1"/>
    <col min="14087" max="14087" width="13.796875" style="1" customWidth="1"/>
    <col min="14088" max="14088" width="14.898437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64.19921875" style="1" customWidth="1"/>
    <col min="14342" max="14342" width="20.09765625" style="1" customWidth="1"/>
    <col min="14343" max="14343" width="13.796875" style="1" customWidth="1"/>
    <col min="14344" max="14344" width="14.898437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64.19921875" style="1" customWidth="1"/>
    <col min="14598" max="14598" width="20.09765625" style="1" customWidth="1"/>
    <col min="14599" max="14599" width="13.796875" style="1" customWidth="1"/>
    <col min="14600" max="14600" width="14.898437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64.19921875" style="1" customWidth="1"/>
    <col min="14854" max="14854" width="20.09765625" style="1" customWidth="1"/>
    <col min="14855" max="14855" width="13.796875" style="1" customWidth="1"/>
    <col min="14856" max="14856" width="14.898437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64.19921875" style="1" customWidth="1"/>
    <col min="15110" max="15110" width="20.09765625" style="1" customWidth="1"/>
    <col min="15111" max="15111" width="13.796875" style="1" customWidth="1"/>
    <col min="15112" max="15112" width="14.898437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64.19921875" style="1" customWidth="1"/>
    <col min="15366" max="15366" width="20.09765625" style="1" customWidth="1"/>
    <col min="15367" max="15367" width="13.796875" style="1" customWidth="1"/>
    <col min="15368" max="15368" width="14.898437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64.19921875" style="1" customWidth="1"/>
    <col min="15622" max="15622" width="20.09765625" style="1" customWidth="1"/>
    <col min="15623" max="15623" width="13.796875" style="1" customWidth="1"/>
    <col min="15624" max="15624" width="14.898437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64.19921875" style="1" customWidth="1"/>
    <col min="15878" max="15878" width="20.09765625" style="1" customWidth="1"/>
    <col min="15879" max="15879" width="13.796875" style="1" customWidth="1"/>
    <col min="15880" max="15880" width="14.898437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64.19921875" style="1" customWidth="1"/>
    <col min="16134" max="16134" width="20.09765625" style="1" customWidth="1"/>
    <col min="16135" max="16135" width="13.796875" style="1" customWidth="1"/>
    <col min="16136" max="16136" width="14.898437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40.5" customHeight="1" x14ac:dyDescent="0.25">
      <c r="B3" s="5" t="s">
        <v>88</v>
      </c>
      <c r="C3" s="5" t="s">
        <v>75</v>
      </c>
      <c r="D3" s="5" t="s">
        <v>429</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96" x14ac:dyDescent="0.25">
      <c r="B8" s="7" t="s">
        <v>283</v>
      </c>
      <c r="C8" s="5" t="s">
        <v>284</v>
      </c>
      <c r="D8" s="12" t="s">
        <v>430</v>
      </c>
      <c r="E8" s="5"/>
      <c r="F8" s="5"/>
      <c r="G8" s="7"/>
      <c r="H8" s="7"/>
      <c r="I8" s="11"/>
      <c r="J8" s="7"/>
    </row>
    <row r="9" spans="1:10" ht="44.55" customHeight="1" x14ac:dyDescent="0.25">
      <c r="B9" s="7" t="s">
        <v>24</v>
      </c>
      <c r="C9" s="5" t="s">
        <v>287</v>
      </c>
      <c r="D9" s="8" t="s">
        <v>288</v>
      </c>
      <c r="E9" s="5"/>
      <c r="F9" s="5"/>
      <c r="G9" s="7"/>
      <c r="H9" s="7"/>
      <c r="I9" s="11"/>
      <c r="J9" s="7"/>
    </row>
    <row r="10" spans="1:10" ht="43.05" customHeight="1" x14ac:dyDescent="0.25">
      <c r="B10" s="7" t="s">
        <v>289</v>
      </c>
      <c r="C10" s="7" t="s">
        <v>290</v>
      </c>
      <c r="D10" s="8" t="s">
        <v>431</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row r="20" spans="2:4" ht="14.4" x14ac:dyDescent="0.25">
      <c r="B20" s="90" t="s">
        <v>292</v>
      </c>
      <c r="C20" s="91"/>
      <c r="D20" s="91"/>
    </row>
  </sheetData>
  <mergeCells count="4">
    <mergeCell ref="B1:E1"/>
    <mergeCell ref="B6:J6"/>
    <mergeCell ref="B16:D16"/>
    <mergeCell ref="B20:D20"/>
  </mergeCells>
  <phoneticPr fontId="29" type="noConversion"/>
  <dataValidations count="2">
    <dataValidation type="list" allowBlank="1" showInputMessage="1" showErrorMessage="1" sqref="E3" xr:uid="{00000000-0002-0000-28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2800-000001000000}">
      <formula1>"正确,错误"</formula1>
    </dataValidation>
  </dataValidations>
  <hyperlinks>
    <hyperlink ref="A1" location="UAT测试案例清单!A1" display="返回" xr:uid="{00000000-0004-0000-2800-000000000000}"/>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J18"/>
  <sheetViews>
    <sheetView zoomScale="80" zoomScaleNormal="80" workbookViewId="0"/>
  </sheetViews>
  <sheetFormatPr defaultColWidth="9" defaultRowHeight="12" x14ac:dyDescent="0.25"/>
  <cols>
    <col min="1" max="1" width="6.59765625" style="1" customWidth="1"/>
    <col min="2" max="2" width="19.69921875" style="1" customWidth="1"/>
    <col min="3" max="3" width="25.69921875" style="1" customWidth="1"/>
    <col min="4" max="4" width="64.19921875" style="1" customWidth="1"/>
    <col min="5" max="5" width="20.09765625" style="1" customWidth="1"/>
    <col min="6" max="6" width="13.796875" style="1" customWidth="1"/>
    <col min="7" max="7" width="14.898437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64.19921875" style="1" customWidth="1"/>
    <col min="262" max="262" width="20.09765625" style="1" customWidth="1"/>
    <col min="263" max="263" width="13.796875" style="1" customWidth="1"/>
    <col min="264" max="264" width="14.898437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64.19921875" style="1" customWidth="1"/>
    <col min="518" max="518" width="20.09765625" style="1" customWidth="1"/>
    <col min="519" max="519" width="13.796875" style="1" customWidth="1"/>
    <col min="520" max="520" width="14.898437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64.19921875" style="1" customWidth="1"/>
    <col min="774" max="774" width="20.09765625" style="1" customWidth="1"/>
    <col min="775" max="775" width="13.796875" style="1" customWidth="1"/>
    <col min="776" max="776" width="14.898437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64.19921875" style="1" customWidth="1"/>
    <col min="1030" max="1030" width="20.09765625" style="1" customWidth="1"/>
    <col min="1031" max="1031" width="13.796875" style="1" customWidth="1"/>
    <col min="1032" max="1032" width="14.898437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64.19921875" style="1" customWidth="1"/>
    <col min="1286" max="1286" width="20.09765625" style="1" customWidth="1"/>
    <col min="1287" max="1287" width="13.796875" style="1" customWidth="1"/>
    <col min="1288" max="1288" width="14.898437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64.19921875" style="1" customWidth="1"/>
    <col min="1542" max="1542" width="20.09765625" style="1" customWidth="1"/>
    <col min="1543" max="1543" width="13.796875" style="1" customWidth="1"/>
    <col min="1544" max="1544" width="14.898437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64.19921875" style="1" customWidth="1"/>
    <col min="1798" max="1798" width="20.09765625" style="1" customWidth="1"/>
    <col min="1799" max="1799" width="13.796875" style="1" customWidth="1"/>
    <col min="1800" max="1800" width="14.898437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64.19921875" style="1" customWidth="1"/>
    <col min="2054" max="2054" width="20.09765625" style="1" customWidth="1"/>
    <col min="2055" max="2055" width="13.796875" style="1" customWidth="1"/>
    <col min="2056" max="2056" width="14.898437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64.19921875" style="1" customWidth="1"/>
    <col min="2310" max="2310" width="20.09765625" style="1" customWidth="1"/>
    <col min="2311" max="2311" width="13.796875" style="1" customWidth="1"/>
    <col min="2312" max="2312" width="14.898437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64.19921875" style="1" customWidth="1"/>
    <col min="2566" max="2566" width="20.09765625" style="1" customWidth="1"/>
    <col min="2567" max="2567" width="13.796875" style="1" customWidth="1"/>
    <col min="2568" max="2568" width="14.898437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64.19921875" style="1" customWidth="1"/>
    <col min="2822" max="2822" width="20.09765625" style="1" customWidth="1"/>
    <col min="2823" max="2823" width="13.796875" style="1" customWidth="1"/>
    <col min="2824" max="2824" width="14.898437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64.19921875" style="1" customWidth="1"/>
    <col min="3078" max="3078" width="20.09765625" style="1" customWidth="1"/>
    <col min="3079" max="3079" width="13.796875" style="1" customWidth="1"/>
    <col min="3080" max="3080" width="14.898437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64.19921875" style="1" customWidth="1"/>
    <col min="3334" max="3334" width="20.09765625" style="1" customWidth="1"/>
    <col min="3335" max="3335" width="13.796875" style="1" customWidth="1"/>
    <col min="3336" max="3336" width="14.898437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64.19921875" style="1" customWidth="1"/>
    <col min="3590" max="3590" width="20.09765625" style="1" customWidth="1"/>
    <col min="3591" max="3591" width="13.796875" style="1" customWidth="1"/>
    <col min="3592" max="3592" width="14.898437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64.19921875" style="1" customWidth="1"/>
    <col min="3846" max="3846" width="20.09765625" style="1" customWidth="1"/>
    <col min="3847" max="3847" width="13.796875" style="1" customWidth="1"/>
    <col min="3848" max="3848" width="14.898437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64.19921875" style="1" customWidth="1"/>
    <col min="4102" max="4102" width="20.09765625" style="1" customWidth="1"/>
    <col min="4103" max="4103" width="13.796875" style="1" customWidth="1"/>
    <col min="4104" max="4104" width="14.898437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64.19921875" style="1" customWidth="1"/>
    <col min="4358" max="4358" width="20.09765625" style="1" customWidth="1"/>
    <col min="4359" max="4359" width="13.796875" style="1" customWidth="1"/>
    <col min="4360" max="4360" width="14.898437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64.19921875" style="1" customWidth="1"/>
    <col min="4614" max="4614" width="20.09765625" style="1" customWidth="1"/>
    <col min="4615" max="4615" width="13.796875" style="1" customWidth="1"/>
    <col min="4616" max="4616" width="14.898437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64.19921875" style="1" customWidth="1"/>
    <col min="4870" max="4870" width="20.09765625" style="1" customWidth="1"/>
    <col min="4871" max="4871" width="13.796875" style="1" customWidth="1"/>
    <col min="4872" max="4872" width="14.898437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64.19921875" style="1" customWidth="1"/>
    <col min="5126" max="5126" width="20.09765625" style="1" customWidth="1"/>
    <col min="5127" max="5127" width="13.796875" style="1" customWidth="1"/>
    <col min="5128" max="5128" width="14.898437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64.19921875" style="1" customWidth="1"/>
    <col min="5382" max="5382" width="20.09765625" style="1" customWidth="1"/>
    <col min="5383" max="5383" width="13.796875" style="1" customWidth="1"/>
    <col min="5384" max="5384" width="14.898437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64.19921875" style="1" customWidth="1"/>
    <col min="5638" max="5638" width="20.09765625" style="1" customWidth="1"/>
    <col min="5639" max="5639" width="13.796875" style="1" customWidth="1"/>
    <col min="5640" max="5640" width="14.898437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64.19921875" style="1" customWidth="1"/>
    <col min="5894" max="5894" width="20.09765625" style="1" customWidth="1"/>
    <col min="5895" max="5895" width="13.796875" style="1" customWidth="1"/>
    <col min="5896" max="5896" width="14.898437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64.19921875" style="1" customWidth="1"/>
    <col min="6150" max="6150" width="20.09765625" style="1" customWidth="1"/>
    <col min="6151" max="6151" width="13.796875" style="1" customWidth="1"/>
    <col min="6152" max="6152" width="14.898437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64.19921875" style="1" customWidth="1"/>
    <col min="6406" max="6406" width="20.09765625" style="1" customWidth="1"/>
    <col min="6407" max="6407" width="13.796875" style="1" customWidth="1"/>
    <col min="6408" max="6408" width="14.898437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64.19921875" style="1" customWidth="1"/>
    <col min="6662" max="6662" width="20.09765625" style="1" customWidth="1"/>
    <col min="6663" max="6663" width="13.796875" style="1" customWidth="1"/>
    <col min="6664" max="6664" width="14.898437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64.19921875" style="1" customWidth="1"/>
    <col min="6918" max="6918" width="20.09765625" style="1" customWidth="1"/>
    <col min="6919" max="6919" width="13.796875" style="1" customWidth="1"/>
    <col min="6920" max="6920" width="14.898437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64.19921875" style="1" customWidth="1"/>
    <col min="7174" max="7174" width="20.09765625" style="1" customWidth="1"/>
    <col min="7175" max="7175" width="13.796875" style="1" customWidth="1"/>
    <col min="7176" max="7176" width="14.898437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64.19921875" style="1" customWidth="1"/>
    <col min="7430" max="7430" width="20.09765625" style="1" customWidth="1"/>
    <col min="7431" max="7431" width="13.796875" style="1" customWidth="1"/>
    <col min="7432" max="7432" width="14.898437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64.19921875" style="1" customWidth="1"/>
    <col min="7686" max="7686" width="20.09765625" style="1" customWidth="1"/>
    <col min="7687" max="7687" width="13.796875" style="1" customWidth="1"/>
    <col min="7688" max="7688" width="14.898437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64.19921875" style="1" customWidth="1"/>
    <col min="7942" max="7942" width="20.09765625" style="1" customWidth="1"/>
    <col min="7943" max="7943" width="13.796875" style="1" customWidth="1"/>
    <col min="7944" max="7944" width="14.898437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64.19921875" style="1" customWidth="1"/>
    <col min="8198" max="8198" width="20.09765625" style="1" customWidth="1"/>
    <col min="8199" max="8199" width="13.796875" style="1" customWidth="1"/>
    <col min="8200" max="8200" width="14.898437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64.19921875" style="1" customWidth="1"/>
    <col min="8454" max="8454" width="20.09765625" style="1" customWidth="1"/>
    <col min="8455" max="8455" width="13.796875" style="1" customWidth="1"/>
    <col min="8456" max="8456" width="14.898437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64.19921875" style="1" customWidth="1"/>
    <col min="8710" max="8710" width="20.09765625" style="1" customWidth="1"/>
    <col min="8711" max="8711" width="13.796875" style="1" customWidth="1"/>
    <col min="8712" max="8712" width="14.898437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64.19921875" style="1" customWidth="1"/>
    <col min="8966" max="8966" width="20.09765625" style="1" customWidth="1"/>
    <col min="8967" max="8967" width="13.796875" style="1" customWidth="1"/>
    <col min="8968" max="8968" width="14.898437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64.19921875" style="1" customWidth="1"/>
    <col min="9222" max="9222" width="20.09765625" style="1" customWidth="1"/>
    <col min="9223" max="9223" width="13.796875" style="1" customWidth="1"/>
    <col min="9224" max="9224" width="14.898437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64.19921875" style="1" customWidth="1"/>
    <col min="9478" max="9478" width="20.09765625" style="1" customWidth="1"/>
    <col min="9479" max="9479" width="13.796875" style="1" customWidth="1"/>
    <col min="9480" max="9480" width="14.898437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64.19921875" style="1" customWidth="1"/>
    <col min="9734" max="9734" width="20.09765625" style="1" customWidth="1"/>
    <col min="9735" max="9735" width="13.796875" style="1" customWidth="1"/>
    <col min="9736" max="9736" width="14.898437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64.19921875" style="1" customWidth="1"/>
    <col min="9990" max="9990" width="20.09765625" style="1" customWidth="1"/>
    <col min="9991" max="9991" width="13.796875" style="1" customWidth="1"/>
    <col min="9992" max="9992" width="14.898437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64.19921875" style="1" customWidth="1"/>
    <col min="10246" max="10246" width="20.09765625" style="1" customWidth="1"/>
    <col min="10247" max="10247" width="13.796875" style="1" customWidth="1"/>
    <col min="10248" max="10248" width="14.898437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64.19921875" style="1" customWidth="1"/>
    <col min="10502" max="10502" width="20.09765625" style="1" customWidth="1"/>
    <col min="10503" max="10503" width="13.796875" style="1" customWidth="1"/>
    <col min="10504" max="10504" width="14.898437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64.19921875" style="1" customWidth="1"/>
    <col min="10758" max="10758" width="20.09765625" style="1" customWidth="1"/>
    <col min="10759" max="10759" width="13.796875" style="1" customWidth="1"/>
    <col min="10760" max="10760" width="14.898437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64.19921875" style="1" customWidth="1"/>
    <col min="11014" max="11014" width="20.09765625" style="1" customWidth="1"/>
    <col min="11015" max="11015" width="13.796875" style="1" customWidth="1"/>
    <col min="11016" max="11016" width="14.898437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64.19921875" style="1" customWidth="1"/>
    <col min="11270" max="11270" width="20.09765625" style="1" customWidth="1"/>
    <col min="11271" max="11271" width="13.796875" style="1" customWidth="1"/>
    <col min="11272" max="11272" width="14.898437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64.19921875" style="1" customWidth="1"/>
    <col min="11526" max="11526" width="20.09765625" style="1" customWidth="1"/>
    <col min="11527" max="11527" width="13.796875" style="1" customWidth="1"/>
    <col min="11528" max="11528" width="14.898437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64.19921875" style="1" customWidth="1"/>
    <col min="11782" max="11782" width="20.09765625" style="1" customWidth="1"/>
    <col min="11783" max="11783" width="13.796875" style="1" customWidth="1"/>
    <col min="11784" max="11784" width="14.898437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64.19921875" style="1" customWidth="1"/>
    <col min="12038" max="12038" width="20.09765625" style="1" customWidth="1"/>
    <col min="12039" max="12039" width="13.796875" style="1" customWidth="1"/>
    <col min="12040" max="12040" width="14.898437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64.19921875" style="1" customWidth="1"/>
    <col min="12294" max="12294" width="20.09765625" style="1" customWidth="1"/>
    <col min="12295" max="12295" width="13.796875" style="1" customWidth="1"/>
    <col min="12296" max="12296" width="14.898437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64.19921875" style="1" customWidth="1"/>
    <col min="12550" max="12550" width="20.09765625" style="1" customWidth="1"/>
    <col min="12551" max="12551" width="13.796875" style="1" customWidth="1"/>
    <col min="12552" max="12552" width="14.898437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64.19921875" style="1" customWidth="1"/>
    <col min="12806" max="12806" width="20.09765625" style="1" customWidth="1"/>
    <col min="12807" max="12807" width="13.796875" style="1" customWidth="1"/>
    <col min="12808" max="12808" width="14.898437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64.19921875" style="1" customWidth="1"/>
    <col min="13062" max="13062" width="20.09765625" style="1" customWidth="1"/>
    <col min="13063" max="13063" width="13.796875" style="1" customWidth="1"/>
    <col min="13064" max="13064" width="14.898437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64.19921875" style="1" customWidth="1"/>
    <col min="13318" max="13318" width="20.09765625" style="1" customWidth="1"/>
    <col min="13319" max="13319" width="13.796875" style="1" customWidth="1"/>
    <col min="13320" max="13320" width="14.898437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64.19921875" style="1" customWidth="1"/>
    <col min="13574" max="13574" width="20.09765625" style="1" customWidth="1"/>
    <col min="13575" max="13575" width="13.796875" style="1" customWidth="1"/>
    <col min="13576" max="13576" width="14.898437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64.19921875" style="1" customWidth="1"/>
    <col min="13830" max="13830" width="20.09765625" style="1" customWidth="1"/>
    <col min="13831" max="13831" width="13.796875" style="1" customWidth="1"/>
    <col min="13832" max="13832" width="14.898437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64.19921875" style="1" customWidth="1"/>
    <col min="14086" max="14086" width="20.09765625" style="1" customWidth="1"/>
    <col min="14087" max="14087" width="13.796875" style="1" customWidth="1"/>
    <col min="14088" max="14088" width="14.898437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64.19921875" style="1" customWidth="1"/>
    <col min="14342" max="14342" width="20.09765625" style="1" customWidth="1"/>
    <col min="14343" max="14343" width="13.796875" style="1" customWidth="1"/>
    <col min="14344" max="14344" width="14.898437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64.19921875" style="1" customWidth="1"/>
    <col min="14598" max="14598" width="20.09765625" style="1" customWidth="1"/>
    <col min="14599" max="14599" width="13.796875" style="1" customWidth="1"/>
    <col min="14600" max="14600" width="14.898437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64.19921875" style="1" customWidth="1"/>
    <col min="14854" max="14854" width="20.09765625" style="1" customWidth="1"/>
    <col min="14855" max="14855" width="13.796875" style="1" customWidth="1"/>
    <col min="14856" max="14856" width="14.898437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64.19921875" style="1" customWidth="1"/>
    <col min="15110" max="15110" width="20.09765625" style="1" customWidth="1"/>
    <col min="15111" max="15111" width="13.796875" style="1" customWidth="1"/>
    <col min="15112" max="15112" width="14.898437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64.19921875" style="1" customWidth="1"/>
    <col min="15366" max="15366" width="20.09765625" style="1" customWidth="1"/>
    <col min="15367" max="15367" width="13.796875" style="1" customWidth="1"/>
    <col min="15368" max="15368" width="14.898437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64.19921875" style="1" customWidth="1"/>
    <col min="15622" max="15622" width="20.09765625" style="1" customWidth="1"/>
    <col min="15623" max="15623" width="13.796875" style="1" customWidth="1"/>
    <col min="15624" max="15624" width="14.898437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64.19921875" style="1" customWidth="1"/>
    <col min="15878" max="15878" width="20.09765625" style="1" customWidth="1"/>
    <col min="15879" max="15879" width="13.796875" style="1" customWidth="1"/>
    <col min="15880" max="15880" width="14.898437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64.19921875" style="1" customWidth="1"/>
    <col min="16134" max="16134" width="20.09765625" style="1" customWidth="1"/>
    <col min="16135" max="16135" width="13.796875" style="1" customWidth="1"/>
    <col min="16136" max="16136" width="14.898437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40.5" customHeight="1" x14ac:dyDescent="0.25">
      <c r="B3" s="5" t="s">
        <v>88</v>
      </c>
      <c r="C3" s="5" t="s">
        <v>77</v>
      </c>
      <c r="D3" s="5" t="s">
        <v>78</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00.95" customHeight="1" x14ac:dyDescent="0.25">
      <c r="B8" s="7" t="s">
        <v>283</v>
      </c>
      <c r="C8" s="5" t="s">
        <v>284</v>
      </c>
      <c r="D8" s="8" t="s">
        <v>432</v>
      </c>
      <c r="E8" s="5"/>
      <c r="F8" s="5"/>
      <c r="G8" s="7"/>
      <c r="H8" s="7"/>
      <c r="I8" s="11"/>
      <c r="J8" s="7"/>
    </row>
    <row r="9" spans="1:10" ht="40.049999999999997" customHeight="1" x14ac:dyDescent="0.25">
      <c r="B9" s="7" t="s">
        <v>24</v>
      </c>
      <c r="C9" s="5" t="s">
        <v>287</v>
      </c>
      <c r="D9" s="8" t="s">
        <v>288</v>
      </c>
      <c r="E9" s="5"/>
      <c r="F9" s="5"/>
      <c r="G9" s="7"/>
      <c r="H9" s="7"/>
      <c r="I9" s="11"/>
      <c r="J9" s="7"/>
    </row>
    <row r="10" spans="1:10" ht="24" x14ac:dyDescent="0.25">
      <c r="B10" s="7" t="s">
        <v>289</v>
      </c>
      <c r="C10" s="7" t="s">
        <v>290</v>
      </c>
      <c r="D10" s="8" t="s">
        <v>433</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sheetData>
  <mergeCells count="3">
    <mergeCell ref="B1:E1"/>
    <mergeCell ref="B6:J6"/>
    <mergeCell ref="B16:D16"/>
  </mergeCells>
  <phoneticPr fontId="29" type="noConversion"/>
  <dataValidations count="2">
    <dataValidation type="list" allowBlank="1" showInputMessage="1" showErrorMessage="1" sqref="E3" xr:uid="{00000000-0002-0000-29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2900-000001000000}">
      <formula1>"正确,错误"</formula1>
    </dataValidation>
  </dataValidations>
  <hyperlinks>
    <hyperlink ref="A1" location="UAT测试案例清单!A1" display="返回" xr:uid="{00000000-0004-0000-29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J18"/>
  <sheetViews>
    <sheetView workbookViewId="0"/>
  </sheetViews>
  <sheetFormatPr defaultColWidth="9" defaultRowHeight="12" x14ac:dyDescent="0.25"/>
  <cols>
    <col min="1" max="1" width="6.59765625" style="1" customWidth="1"/>
    <col min="2" max="2" width="19.69921875" style="1" customWidth="1"/>
    <col min="3" max="3" width="25.69921875" style="1" customWidth="1"/>
    <col min="4" max="4" width="64.19921875" style="1" customWidth="1"/>
    <col min="5" max="5" width="20.09765625" style="1" customWidth="1"/>
    <col min="6" max="6" width="13.796875" style="1" customWidth="1"/>
    <col min="7" max="7" width="14.898437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64.19921875" style="1" customWidth="1"/>
    <col min="262" max="262" width="20.09765625" style="1" customWidth="1"/>
    <col min="263" max="263" width="13.796875" style="1" customWidth="1"/>
    <col min="264" max="264" width="14.898437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64.19921875" style="1" customWidth="1"/>
    <col min="518" max="518" width="20.09765625" style="1" customWidth="1"/>
    <col min="519" max="519" width="13.796875" style="1" customWidth="1"/>
    <col min="520" max="520" width="14.898437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64.19921875" style="1" customWidth="1"/>
    <col min="774" max="774" width="20.09765625" style="1" customWidth="1"/>
    <col min="775" max="775" width="13.796875" style="1" customWidth="1"/>
    <col min="776" max="776" width="14.898437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64.19921875" style="1" customWidth="1"/>
    <col min="1030" max="1030" width="20.09765625" style="1" customWidth="1"/>
    <col min="1031" max="1031" width="13.796875" style="1" customWidth="1"/>
    <col min="1032" max="1032" width="14.898437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64.19921875" style="1" customWidth="1"/>
    <col min="1286" max="1286" width="20.09765625" style="1" customWidth="1"/>
    <col min="1287" max="1287" width="13.796875" style="1" customWidth="1"/>
    <col min="1288" max="1288" width="14.898437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64.19921875" style="1" customWidth="1"/>
    <col min="1542" max="1542" width="20.09765625" style="1" customWidth="1"/>
    <col min="1543" max="1543" width="13.796875" style="1" customWidth="1"/>
    <col min="1544" max="1544" width="14.898437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64.19921875" style="1" customWidth="1"/>
    <col min="1798" max="1798" width="20.09765625" style="1" customWidth="1"/>
    <col min="1799" max="1799" width="13.796875" style="1" customWidth="1"/>
    <col min="1800" max="1800" width="14.898437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64.19921875" style="1" customWidth="1"/>
    <col min="2054" max="2054" width="20.09765625" style="1" customWidth="1"/>
    <col min="2055" max="2055" width="13.796875" style="1" customWidth="1"/>
    <col min="2056" max="2056" width="14.898437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64.19921875" style="1" customWidth="1"/>
    <col min="2310" max="2310" width="20.09765625" style="1" customWidth="1"/>
    <col min="2311" max="2311" width="13.796875" style="1" customWidth="1"/>
    <col min="2312" max="2312" width="14.898437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64.19921875" style="1" customWidth="1"/>
    <col min="2566" max="2566" width="20.09765625" style="1" customWidth="1"/>
    <col min="2567" max="2567" width="13.796875" style="1" customWidth="1"/>
    <col min="2568" max="2568" width="14.898437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64.19921875" style="1" customWidth="1"/>
    <col min="2822" max="2822" width="20.09765625" style="1" customWidth="1"/>
    <col min="2823" max="2823" width="13.796875" style="1" customWidth="1"/>
    <col min="2824" max="2824" width="14.898437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64.19921875" style="1" customWidth="1"/>
    <col min="3078" max="3078" width="20.09765625" style="1" customWidth="1"/>
    <col min="3079" max="3079" width="13.796875" style="1" customWidth="1"/>
    <col min="3080" max="3080" width="14.898437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64.19921875" style="1" customWidth="1"/>
    <col min="3334" max="3334" width="20.09765625" style="1" customWidth="1"/>
    <col min="3335" max="3335" width="13.796875" style="1" customWidth="1"/>
    <col min="3336" max="3336" width="14.898437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64.19921875" style="1" customWidth="1"/>
    <col min="3590" max="3590" width="20.09765625" style="1" customWidth="1"/>
    <col min="3591" max="3591" width="13.796875" style="1" customWidth="1"/>
    <col min="3592" max="3592" width="14.898437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64.19921875" style="1" customWidth="1"/>
    <col min="3846" max="3846" width="20.09765625" style="1" customWidth="1"/>
    <col min="3847" max="3847" width="13.796875" style="1" customWidth="1"/>
    <col min="3848" max="3848" width="14.898437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64.19921875" style="1" customWidth="1"/>
    <col min="4102" max="4102" width="20.09765625" style="1" customWidth="1"/>
    <col min="4103" max="4103" width="13.796875" style="1" customWidth="1"/>
    <col min="4104" max="4104" width="14.898437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64.19921875" style="1" customWidth="1"/>
    <col min="4358" max="4358" width="20.09765625" style="1" customWidth="1"/>
    <col min="4359" max="4359" width="13.796875" style="1" customWidth="1"/>
    <col min="4360" max="4360" width="14.898437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64.19921875" style="1" customWidth="1"/>
    <col min="4614" max="4614" width="20.09765625" style="1" customWidth="1"/>
    <col min="4615" max="4615" width="13.796875" style="1" customWidth="1"/>
    <col min="4616" max="4616" width="14.898437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64.19921875" style="1" customWidth="1"/>
    <col min="4870" max="4870" width="20.09765625" style="1" customWidth="1"/>
    <col min="4871" max="4871" width="13.796875" style="1" customWidth="1"/>
    <col min="4872" max="4872" width="14.898437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64.19921875" style="1" customWidth="1"/>
    <col min="5126" max="5126" width="20.09765625" style="1" customWidth="1"/>
    <col min="5127" max="5127" width="13.796875" style="1" customWidth="1"/>
    <col min="5128" max="5128" width="14.898437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64.19921875" style="1" customWidth="1"/>
    <col min="5382" max="5382" width="20.09765625" style="1" customWidth="1"/>
    <col min="5383" max="5383" width="13.796875" style="1" customWidth="1"/>
    <col min="5384" max="5384" width="14.898437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64.19921875" style="1" customWidth="1"/>
    <col min="5638" max="5638" width="20.09765625" style="1" customWidth="1"/>
    <col min="5639" max="5639" width="13.796875" style="1" customWidth="1"/>
    <col min="5640" max="5640" width="14.898437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64.19921875" style="1" customWidth="1"/>
    <col min="5894" max="5894" width="20.09765625" style="1" customWidth="1"/>
    <col min="5895" max="5895" width="13.796875" style="1" customWidth="1"/>
    <col min="5896" max="5896" width="14.898437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64.19921875" style="1" customWidth="1"/>
    <col min="6150" max="6150" width="20.09765625" style="1" customWidth="1"/>
    <col min="6151" max="6151" width="13.796875" style="1" customWidth="1"/>
    <col min="6152" max="6152" width="14.898437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64.19921875" style="1" customWidth="1"/>
    <col min="6406" max="6406" width="20.09765625" style="1" customWidth="1"/>
    <col min="6407" max="6407" width="13.796875" style="1" customWidth="1"/>
    <col min="6408" max="6408" width="14.898437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64.19921875" style="1" customWidth="1"/>
    <col min="6662" max="6662" width="20.09765625" style="1" customWidth="1"/>
    <col min="6663" max="6663" width="13.796875" style="1" customWidth="1"/>
    <col min="6664" max="6664" width="14.898437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64.19921875" style="1" customWidth="1"/>
    <col min="6918" max="6918" width="20.09765625" style="1" customWidth="1"/>
    <col min="6919" max="6919" width="13.796875" style="1" customWidth="1"/>
    <col min="6920" max="6920" width="14.898437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64.19921875" style="1" customWidth="1"/>
    <col min="7174" max="7174" width="20.09765625" style="1" customWidth="1"/>
    <col min="7175" max="7175" width="13.796875" style="1" customWidth="1"/>
    <col min="7176" max="7176" width="14.898437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64.19921875" style="1" customWidth="1"/>
    <col min="7430" max="7430" width="20.09765625" style="1" customWidth="1"/>
    <col min="7431" max="7431" width="13.796875" style="1" customWidth="1"/>
    <col min="7432" max="7432" width="14.898437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64.19921875" style="1" customWidth="1"/>
    <col min="7686" max="7686" width="20.09765625" style="1" customWidth="1"/>
    <col min="7687" max="7687" width="13.796875" style="1" customWidth="1"/>
    <col min="7688" max="7688" width="14.898437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64.19921875" style="1" customWidth="1"/>
    <col min="7942" max="7942" width="20.09765625" style="1" customWidth="1"/>
    <col min="7943" max="7943" width="13.796875" style="1" customWidth="1"/>
    <col min="7944" max="7944" width="14.898437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64.19921875" style="1" customWidth="1"/>
    <col min="8198" max="8198" width="20.09765625" style="1" customWidth="1"/>
    <col min="8199" max="8199" width="13.796875" style="1" customWidth="1"/>
    <col min="8200" max="8200" width="14.898437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64.19921875" style="1" customWidth="1"/>
    <col min="8454" max="8454" width="20.09765625" style="1" customWidth="1"/>
    <col min="8455" max="8455" width="13.796875" style="1" customWidth="1"/>
    <col min="8456" max="8456" width="14.898437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64.19921875" style="1" customWidth="1"/>
    <col min="8710" max="8710" width="20.09765625" style="1" customWidth="1"/>
    <col min="8711" max="8711" width="13.796875" style="1" customWidth="1"/>
    <col min="8712" max="8712" width="14.898437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64.19921875" style="1" customWidth="1"/>
    <col min="8966" max="8966" width="20.09765625" style="1" customWidth="1"/>
    <col min="8967" max="8967" width="13.796875" style="1" customWidth="1"/>
    <col min="8968" max="8968" width="14.898437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64.19921875" style="1" customWidth="1"/>
    <col min="9222" max="9222" width="20.09765625" style="1" customWidth="1"/>
    <col min="9223" max="9223" width="13.796875" style="1" customWidth="1"/>
    <col min="9224" max="9224" width="14.898437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64.19921875" style="1" customWidth="1"/>
    <col min="9478" max="9478" width="20.09765625" style="1" customWidth="1"/>
    <col min="9479" max="9479" width="13.796875" style="1" customWidth="1"/>
    <col min="9480" max="9480" width="14.898437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64.19921875" style="1" customWidth="1"/>
    <col min="9734" max="9734" width="20.09765625" style="1" customWidth="1"/>
    <col min="9735" max="9735" width="13.796875" style="1" customWidth="1"/>
    <col min="9736" max="9736" width="14.898437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64.19921875" style="1" customWidth="1"/>
    <col min="9990" max="9990" width="20.09765625" style="1" customWidth="1"/>
    <col min="9991" max="9991" width="13.796875" style="1" customWidth="1"/>
    <col min="9992" max="9992" width="14.898437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64.19921875" style="1" customWidth="1"/>
    <col min="10246" max="10246" width="20.09765625" style="1" customWidth="1"/>
    <col min="10247" max="10247" width="13.796875" style="1" customWidth="1"/>
    <col min="10248" max="10248" width="14.898437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64.19921875" style="1" customWidth="1"/>
    <col min="10502" max="10502" width="20.09765625" style="1" customWidth="1"/>
    <col min="10503" max="10503" width="13.796875" style="1" customWidth="1"/>
    <col min="10504" max="10504" width="14.898437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64.19921875" style="1" customWidth="1"/>
    <col min="10758" max="10758" width="20.09765625" style="1" customWidth="1"/>
    <col min="10759" max="10759" width="13.796875" style="1" customWidth="1"/>
    <col min="10760" max="10760" width="14.898437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64.19921875" style="1" customWidth="1"/>
    <col min="11014" max="11014" width="20.09765625" style="1" customWidth="1"/>
    <col min="11015" max="11015" width="13.796875" style="1" customWidth="1"/>
    <col min="11016" max="11016" width="14.898437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64.19921875" style="1" customWidth="1"/>
    <col min="11270" max="11270" width="20.09765625" style="1" customWidth="1"/>
    <col min="11271" max="11271" width="13.796875" style="1" customWidth="1"/>
    <col min="11272" max="11272" width="14.898437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64.19921875" style="1" customWidth="1"/>
    <col min="11526" max="11526" width="20.09765625" style="1" customWidth="1"/>
    <col min="11527" max="11527" width="13.796875" style="1" customWidth="1"/>
    <col min="11528" max="11528" width="14.898437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64.19921875" style="1" customWidth="1"/>
    <col min="11782" max="11782" width="20.09765625" style="1" customWidth="1"/>
    <col min="11783" max="11783" width="13.796875" style="1" customWidth="1"/>
    <col min="11784" max="11784" width="14.898437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64.19921875" style="1" customWidth="1"/>
    <col min="12038" max="12038" width="20.09765625" style="1" customWidth="1"/>
    <col min="12039" max="12039" width="13.796875" style="1" customWidth="1"/>
    <col min="12040" max="12040" width="14.898437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64.19921875" style="1" customWidth="1"/>
    <col min="12294" max="12294" width="20.09765625" style="1" customWidth="1"/>
    <col min="12295" max="12295" width="13.796875" style="1" customWidth="1"/>
    <col min="12296" max="12296" width="14.898437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64.19921875" style="1" customWidth="1"/>
    <col min="12550" max="12550" width="20.09765625" style="1" customWidth="1"/>
    <col min="12551" max="12551" width="13.796875" style="1" customWidth="1"/>
    <col min="12552" max="12552" width="14.898437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64.19921875" style="1" customWidth="1"/>
    <col min="12806" max="12806" width="20.09765625" style="1" customWidth="1"/>
    <col min="12807" max="12807" width="13.796875" style="1" customWidth="1"/>
    <col min="12808" max="12808" width="14.898437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64.19921875" style="1" customWidth="1"/>
    <col min="13062" max="13062" width="20.09765625" style="1" customWidth="1"/>
    <col min="13063" max="13063" width="13.796875" style="1" customWidth="1"/>
    <col min="13064" max="13064" width="14.898437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64.19921875" style="1" customWidth="1"/>
    <col min="13318" max="13318" width="20.09765625" style="1" customWidth="1"/>
    <col min="13319" max="13319" width="13.796875" style="1" customWidth="1"/>
    <col min="13320" max="13320" width="14.898437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64.19921875" style="1" customWidth="1"/>
    <col min="13574" max="13574" width="20.09765625" style="1" customWidth="1"/>
    <col min="13575" max="13575" width="13.796875" style="1" customWidth="1"/>
    <col min="13576" max="13576" width="14.898437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64.19921875" style="1" customWidth="1"/>
    <col min="13830" max="13830" width="20.09765625" style="1" customWidth="1"/>
    <col min="13831" max="13831" width="13.796875" style="1" customWidth="1"/>
    <col min="13832" max="13832" width="14.898437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64.19921875" style="1" customWidth="1"/>
    <col min="14086" max="14086" width="20.09765625" style="1" customWidth="1"/>
    <col min="14087" max="14087" width="13.796875" style="1" customWidth="1"/>
    <col min="14088" max="14088" width="14.898437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64.19921875" style="1" customWidth="1"/>
    <col min="14342" max="14342" width="20.09765625" style="1" customWidth="1"/>
    <col min="14343" max="14343" width="13.796875" style="1" customWidth="1"/>
    <col min="14344" max="14344" width="14.898437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64.19921875" style="1" customWidth="1"/>
    <col min="14598" max="14598" width="20.09765625" style="1" customWidth="1"/>
    <col min="14599" max="14599" width="13.796875" style="1" customWidth="1"/>
    <col min="14600" max="14600" width="14.898437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64.19921875" style="1" customWidth="1"/>
    <col min="14854" max="14854" width="20.09765625" style="1" customWidth="1"/>
    <col min="14855" max="14855" width="13.796875" style="1" customWidth="1"/>
    <col min="14856" max="14856" width="14.898437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64.19921875" style="1" customWidth="1"/>
    <col min="15110" max="15110" width="20.09765625" style="1" customWidth="1"/>
    <col min="15111" max="15111" width="13.796875" style="1" customWidth="1"/>
    <col min="15112" max="15112" width="14.898437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64.19921875" style="1" customWidth="1"/>
    <col min="15366" max="15366" width="20.09765625" style="1" customWidth="1"/>
    <col min="15367" max="15367" width="13.796875" style="1" customWidth="1"/>
    <col min="15368" max="15368" width="14.898437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64.19921875" style="1" customWidth="1"/>
    <col min="15622" max="15622" width="20.09765625" style="1" customWidth="1"/>
    <col min="15623" max="15623" width="13.796875" style="1" customWidth="1"/>
    <col min="15624" max="15624" width="14.898437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64.19921875" style="1" customWidth="1"/>
    <col min="15878" max="15878" width="20.09765625" style="1" customWidth="1"/>
    <col min="15879" max="15879" width="13.796875" style="1" customWidth="1"/>
    <col min="15880" max="15880" width="14.898437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64.19921875" style="1" customWidth="1"/>
    <col min="16134" max="16134" width="20.09765625" style="1" customWidth="1"/>
    <col min="16135" max="16135" width="13.796875" style="1" customWidth="1"/>
    <col min="16136" max="16136" width="14.898437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40.5" customHeight="1" x14ac:dyDescent="0.25">
      <c r="B3" s="5" t="s">
        <v>88</v>
      </c>
      <c r="C3" s="5" t="s">
        <v>79</v>
      </c>
      <c r="D3" s="5" t="s">
        <v>434</v>
      </c>
      <c r="E3" s="6"/>
      <c r="F3" s="5"/>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144" x14ac:dyDescent="0.25">
      <c r="B8" s="7" t="s">
        <v>283</v>
      </c>
      <c r="C8" s="5" t="s">
        <v>284</v>
      </c>
      <c r="D8" s="8" t="s">
        <v>435</v>
      </c>
      <c r="E8" s="5"/>
      <c r="F8" s="5"/>
      <c r="G8" s="7"/>
      <c r="H8" s="7"/>
      <c r="I8" s="11"/>
      <c r="J8" s="7"/>
    </row>
    <row r="9" spans="1:10" ht="39.6" customHeight="1" x14ac:dyDescent="0.25">
      <c r="B9" s="7" t="s">
        <v>24</v>
      </c>
      <c r="C9" s="5" t="s">
        <v>287</v>
      </c>
      <c r="D9" s="8" t="s">
        <v>436</v>
      </c>
      <c r="E9" s="5"/>
      <c r="F9" s="5"/>
      <c r="G9" s="7"/>
      <c r="H9" s="7"/>
      <c r="I9" s="11"/>
      <c r="J9" s="7"/>
    </row>
    <row r="10" spans="1:10" ht="108" x14ac:dyDescent="0.25">
      <c r="B10" s="7" t="s">
        <v>289</v>
      </c>
      <c r="C10" s="7" t="s">
        <v>290</v>
      </c>
      <c r="D10" s="8" t="s">
        <v>437</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sheetData>
  <mergeCells count="3">
    <mergeCell ref="B1:E1"/>
    <mergeCell ref="B6:J6"/>
    <mergeCell ref="B16:D16"/>
  </mergeCells>
  <phoneticPr fontId="29" type="noConversion"/>
  <dataValidations count="2">
    <dataValidation type="list" allowBlank="1" showInputMessage="1" showErrorMessage="1" sqref="E3" xr:uid="{00000000-0002-0000-2A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2A00-000001000000}">
      <formula1>"正确,错误"</formula1>
    </dataValidation>
  </dataValidations>
  <hyperlinks>
    <hyperlink ref="A1" location="UAT测试案例清单!A1" display="返回" xr:uid="{00000000-0004-0000-2A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J18"/>
  <sheetViews>
    <sheetView workbookViewId="0">
      <selection activeCell="E27" sqref="E27"/>
    </sheetView>
  </sheetViews>
  <sheetFormatPr defaultColWidth="9" defaultRowHeight="12" x14ac:dyDescent="0.25"/>
  <cols>
    <col min="1" max="1" width="6.59765625" style="1" customWidth="1"/>
    <col min="2" max="2" width="19.69921875" style="1" customWidth="1"/>
    <col min="3" max="3" width="25.69921875" style="1" customWidth="1"/>
    <col min="4" max="4" width="47.69921875" style="1" customWidth="1"/>
    <col min="5" max="5" width="45.296875" style="1" customWidth="1"/>
    <col min="6" max="6" width="18.8984375" style="1" customWidth="1"/>
    <col min="7" max="7" width="16.5" style="1" customWidth="1"/>
    <col min="8" max="8" width="24.59765625" style="1" customWidth="1"/>
    <col min="9" max="9" width="24.59765625" style="2" customWidth="1"/>
    <col min="10" max="10" width="17.8984375" style="1" customWidth="1"/>
    <col min="11" max="257" width="9" style="1"/>
    <col min="258" max="258" width="6.59765625" style="1" customWidth="1"/>
    <col min="259" max="259" width="19.69921875" style="1" customWidth="1"/>
    <col min="260" max="260" width="25.69921875" style="1" customWidth="1"/>
    <col min="261" max="261" width="47.69921875" style="1" customWidth="1"/>
    <col min="262" max="262" width="45.296875" style="1" customWidth="1"/>
    <col min="263" max="263" width="18.8984375" style="1" customWidth="1"/>
    <col min="264" max="264" width="16.5" style="1" customWidth="1"/>
    <col min="265" max="265" width="24.59765625" style="1" customWidth="1"/>
    <col min="266" max="266" width="17.8984375" style="1" customWidth="1"/>
    <col min="267" max="513" width="9" style="1"/>
    <col min="514" max="514" width="6.59765625" style="1" customWidth="1"/>
    <col min="515" max="515" width="19.69921875" style="1" customWidth="1"/>
    <col min="516" max="516" width="25.69921875" style="1" customWidth="1"/>
    <col min="517" max="517" width="47.69921875" style="1" customWidth="1"/>
    <col min="518" max="518" width="45.296875" style="1" customWidth="1"/>
    <col min="519" max="519" width="18.8984375" style="1" customWidth="1"/>
    <col min="520" max="520" width="16.5" style="1" customWidth="1"/>
    <col min="521" max="521" width="24.59765625" style="1" customWidth="1"/>
    <col min="522" max="522" width="17.8984375" style="1" customWidth="1"/>
    <col min="523" max="769" width="9" style="1"/>
    <col min="770" max="770" width="6.59765625" style="1" customWidth="1"/>
    <col min="771" max="771" width="19.69921875" style="1" customWidth="1"/>
    <col min="772" max="772" width="25.69921875" style="1" customWidth="1"/>
    <col min="773" max="773" width="47.69921875" style="1" customWidth="1"/>
    <col min="774" max="774" width="45.296875" style="1" customWidth="1"/>
    <col min="775" max="775" width="18.8984375" style="1" customWidth="1"/>
    <col min="776" max="776" width="16.5" style="1" customWidth="1"/>
    <col min="777" max="777" width="24.59765625" style="1" customWidth="1"/>
    <col min="778" max="778" width="17.8984375" style="1" customWidth="1"/>
    <col min="779" max="1025" width="9" style="1"/>
    <col min="1026" max="1026" width="6.59765625" style="1" customWidth="1"/>
    <col min="1027" max="1027" width="19.69921875" style="1" customWidth="1"/>
    <col min="1028" max="1028" width="25.69921875" style="1" customWidth="1"/>
    <col min="1029" max="1029" width="47.69921875" style="1" customWidth="1"/>
    <col min="1030" max="1030" width="45.296875" style="1" customWidth="1"/>
    <col min="1031" max="1031" width="18.8984375" style="1" customWidth="1"/>
    <col min="1032" max="1032" width="16.5" style="1" customWidth="1"/>
    <col min="1033" max="1033" width="24.59765625" style="1" customWidth="1"/>
    <col min="1034" max="1034" width="17.8984375" style="1" customWidth="1"/>
    <col min="1035" max="1281" width="9" style="1"/>
    <col min="1282" max="1282" width="6.59765625" style="1" customWidth="1"/>
    <col min="1283" max="1283" width="19.69921875" style="1" customWidth="1"/>
    <col min="1284" max="1284" width="25.69921875" style="1" customWidth="1"/>
    <col min="1285" max="1285" width="47.69921875" style="1" customWidth="1"/>
    <col min="1286" max="1286" width="45.296875" style="1" customWidth="1"/>
    <col min="1287" max="1287" width="18.8984375" style="1" customWidth="1"/>
    <col min="1288" max="1288" width="16.5" style="1" customWidth="1"/>
    <col min="1289" max="1289" width="24.59765625" style="1" customWidth="1"/>
    <col min="1290" max="1290" width="17.8984375" style="1" customWidth="1"/>
    <col min="1291" max="1537" width="9" style="1"/>
    <col min="1538" max="1538" width="6.59765625" style="1" customWidth="1"/>
    <col min="1539" max="1539" width="19.69921875" style="1" customWidth="1"/>
    <col min="1540" max="1540" width="25.69921875" style="1" customWidth="1"/>
    <col min="1541" max="1541" width="47.69921875" style="1" customWidth="1"/>
    <col min="1542" max="1542" width="45.296875" style="1" customWidth="1"/>
    <col min="1543" max="1543" width="18.8984375" style="1" customWidth="1"/>
    <col min="1544" max="1544" width="16.5" style="1" customWidth="1"/>
    <col min="1545" max="1545" width="24.59765625" style="1" customWidth="1"/>
    <col min="1546" max="1546" width="17.8984375" style="1" customWidth="1"/>
    <col min="1547" max="1793" width="9" style="1"/>
    <col min="1794" max="1794" width="6.59765625" style="1" customWidth="1"/>
    <col min="1795" max="1795" width="19.69921875" style="1" customWidth="1"/>
    <col min="1796" max="1796" width="25.69921875" style="1" customWidth="1"/>
    <col min="1797" max="1797" width="47.69921875" style="1" customWidth="1"/>
    <col min="1798" max="1798" width="45.296875" style="1" customWidth="1"/>
    <col min="1799" max="1799" width="18.8984375" style="1" customWidth="1"/>
    <col min="1800" max="1800" width="16.5" style="1" customWidth="1"/>
    <col min="1801" max="1801" width="24.59765625" style="1" customWidth="1"/>
    <col min="1802" max="1802" width="17.8984375" style="1" customWidth="1"/>
    <col min="1803" max="2049" width="9" style="1"/>
    <col min="2050" max="2050" width="6.59765625" style="1" customWidth="1"/>
    <col min="2051" max="2051" width="19.69921875" style="1" customWidth="1"/>
    <col min="2052" max="2052" width="25.69921875" style="1" customWidth="1"/>
    <col min="2053" max="2053" width="47.69921875" style="1" customWidth="1"/>
    <col min="2054" max="2054" width="45.296875" style="1" customWidth="1"/>
    <col min="2055" max="2055" width="18.8984375" style="1" customWidth="1"/>
    <col min="2056" max="2056" width="16.5" style="1" customWidth="1"/>
    <col min="2057" max="2057" width="24.59765625" style="1" customWidth="1"/>
    <col min="2058" max="2058" width="17.8984375" style="1" customWidth="1"/>
    <col min="2059" max="2305" width="9" style="1"/>
    <col min="2306" max="2306" width="6.59765625" style="1" customWidth="1"/>
    <col min="2307" max="2307" width="19.69921875" style="1" customWidth="1"/>
    <col min="2308" max="2308" width="25.69921875" style="1" customWidth="1"/>
    <col min="2309" max="2309" width="47.69921875" style="1" customWidth="1"/>
    <col min="2310" max="2310" width="45.296875" style="1" customWidth="1"/>
    <col min="2311" max="2311" width="18.8984375" style="1" customWidth="1"/>
    <col min="2312" max="2312" width="16.5" style="1" customWidth="1"/>
    <col min="2313" max="2313" width="24.59765625" style="1" customWidth="1"/>
    <col min="2314" max="2314" width="17.8984375" style="1" customWidth="1"/>
    <col min="2315" max="2561" width="9" style="1"/>
    <col min="2562" max="2562" width="6.59765625" style="1" customWidth="1"/>
    <col min="2563" max="2563" width="19.69921875" style="1" customWidth="1"/>
    <col min="2564" max="2564" width="25.69921875" style="1" customWidth="1"/>
    <col min="2565" max="2565" width="47.69921875" style="1" customWidth="1"/>
    <col min="2566" max="2566" width="45.296875" style="1" customWidth="1"/>
    <col min="2567" max="2567" width="18.8984375" style="1" customWidth="1"/>
    <col min="2568" max="2568" width="16.5" style="1" customWidth="1"/>
    <col min="2569" max="2569" width="24.59765625" style="1" customWidth="1"/>
    <col min="2570" max="2570" width="17.8984375" style="1" customWidth="1"/>
    <col min="2571" max="2817" width="9" style="1"/>
    <col min="2818" max="2818" width="6.59765625" style="1" customWidth="1"/>
    <col min="2819" max="2819" width="19.69921875" style="1" customWidth="1"/>
    <col min="2820" max="2820" width="25.69921875" style="1" customWidth="1"/>
    <col min="2821" max="2821" width="47.69921875" style="1" customWidth="1"/>
    <col min="2822" max="2822" width="45.296875" style="1" customWidth="1"/>
    <col min="2823" max="2823" width="18.8984375" style="1" customWidth="1"/>
    <col min="2824" max="2824" width="16.5" style="1" customWidth="1"/>
    <col min="2825" max="2825" width="24.59765625" style="1" customWidth="1"/>
    <col min="2826" max="2826" width="17.8984375" style="1" customWidth="1"/>
    <col min="2827" max="3073" width="9" style="1"/>
    <col min="3074" max="3074" width="6.59765625" style="1" customWidth="1"/>
    <col min="3075" max="3075" width="19.69921875" style="1" customWidth="1"/>
    <col min="3076" max="3076" width="25.69921875" style="1" customWidth="1"/>
    <col min="3077" max="3077" width="47.69921875" style="1" customWidth="1"/>
    <col min="3078" max="3078" width="45.296875" style="1" customWidth="1"/>
    <col min="3079" max="3079" width="18.8984375" style="1" customWidth="1"/>
    <col min="3080" max="3080" width="16.5" style="1" customWidth="1"/>
    <col min="3081" max="3081" width="24.59765625" style="1" customWidth="1"/>
    <col min="3082" max="3082" width="17.8984375" style="1" customWidth="1"/>
    <col min="3083" max="3329" width="9" style="1"/>
    <col min="3330" max="3330" width="6.59765625" style="1" customWidth="1"/>
    <col min="3331" max="3331" width="19.69921875" style="1" customWidth="1"/>
    <col min="3332" max="3332" width="25.69921875" style="1" customWidth="1"/>
    <col min="3333" max="3333" width="47.69921875" style="1" customWidth="1"/>
    <col min="3334" max="3334" width="45.296875" style="1" customWidth="1"/>
    <col min="3335" max="3335" width="18.8984375" style="1" customWidth="1"/>
    <col min="3336" max="3336" width="16.5" style="1" customWidth="1"/>
    <col min="3337" max="3337" width="24.59765625" style="1" customWidth="1"/>
    <col min="3338" max="3338" width="17.8984375" style="1" customWidth="1"/>
    <col min="3339" max="3585" width="9" style="1"/>
    <col min="3586" max="3586" width="6.59765625" style="1" customWidth="1"/>
    <col min="3587" max="3587" width="19.69921875" style="1" customWidth="1"/>
    <col min="3588" max="3588" width="25.69921875" style="1" customWidth="1"/>
    <col min="3589" max="3589" width="47.69921875" style="1" customWidth="1"/>
    <col min="3590" max="3590" width="45.296875" style="1" customWidth="1"/>
    <col min="3591" max="3591" width="18.8984375" style="1" customWidth="1"/>
    <col min="3592" max="3592" width="16.5" style="1" customWidth="1"/>
    <col min="3593" max="3593" width="24.59765625" style="1" customWidth="1"/>
    <col min="3594" max="3594" width="17.8984375" style="1" customWidth="1"/>
    <col min="3595" max="3841" width="9" style="1"/>
    <col min="3842" max="3842" width="6.59765625" style="1" customWidth="1"/>
    <col min="3843" max="3843" width="19.69921875" style="1" customWidth="1"/>
    <col min="3844" max="3844" width="25.69921875" style="1" customWidth="1"/>
    <col min="3845" max="3845" width="47.69921875" style="1" customWidth="1"/>
    <col min="3846" max="3846" width="45.296875" style="1" customWidth="1"/>
    <col min="3847" max="3847" width="18.8984375" style="1" customWidth="1"/>
    <col min="3848" max="3848" width="16.5" style="1" customWidth="1"/>
    <col min="3849" max="3849" width="24.59765625" style="1" customWidth="1"/>
    <col min="3850" max="3850" width="17.8984375" style="1" customWidth="1"/>
    <col min="3851" max="4097" width="9" style="1"/>
    <col min="4098" max="4098" width="6.59765625" style="1" customWidth="1"/>
    <col min="4099" max="4099" width="19.69921875" style="1" customWidth="1"/>
    <col min="4100" max="4100" width="25.69921875" style="1" customWidth="1"/>
    <col min="4101" max="4101" width="47.69921875" style="1" customWidth="1"/>
    <col min="4102" max="4102" width="45.296875" style="1" customWidth="1"/>
    <col min="4103" max="4103" width="18.8984375" style="1" customWidth="1"/>
    <col min="4104" max="4104" width="16.5" style="1" customWidth="1"/>
    <col min="4105" max="4105" width="24.59765625" style="1" customWidth="1"/>
    <col min="4106" max="4106" width="17.8984375" style="1" customWidth="1"/>
    <col min="4107" max="4353" width="9" style="1"/>
    <col min="4354" max="4354" width="6.59765625" style="1" customWidth="1"/>
    <col min="4355" max="4355" width="19.69921875" style="1" customWidth="1"/>
    <col min="4356" max="4356" width="25.69921875" style="1" customWidth="1"/>
    <col min="4357" max="4357" width="47.69921875" style="1" customWidth="1"/>
    <col min="4358" max="4358" width="45.296875" style="1" customWidth="1"/>
    <col min="4359" max="4359" width="18.8984375" style="1" customWidth="1"/>
    <col min="4360" max="4360" width="16.5" style="1" customWidth="1"/>
    <col min="4361" max="4361" width="24.59765625" style="1" customWidth="1"/>
    <col min="4362" max="4362" width="17.8984375" style="1" customWidth="1"/>
    <col min="4363" max="4609" width="9" style="1"/>
    <col min="4610" max="4610" width="6.59765625" style="1" customWidth="1"/>
    <col min="4611" max="4611" width="19.69921875" style="1" customWidth="1"/>
    <col min="4612" max="4612" width="25.69921875" style="1" customWidth="1"/>
    <col min="4613" max="4613" width="47.69921875" style="1" customWidth="1"/>
    <col min="4614" max="4614" width="45.296875" style="1" customWidth="1"/>
    <col min="4615" max="4615" width="18.8984375" style="1" customWidth="1"/>
    <col min="4616" max="4616" width="16.5" style="1" customWidth="1"/>
    <col min="4617" max="4617" width="24.59765625" style="1" customWidth="1"/>
    <col min="4618" max="4618" width="17.8984375" style="1" customWidth="1"/>
    <col min="4619" max="4865" width="9" style="1"/>
    <col min="4866" max="4866" width="6.59765625" style="1" customWidth="1"/>
    <col min="4867" max="4867" width="19.69921875" style="1" customWidth="1"/>
    <col min="4868" max="4868" width="25.69921875" style="1" customWidth="1"/>
    <col min="4869" max="4869" width="47.69921875" style="1" customWidth="1"/>
    <col min="4870" max="4870" width="45.296875" style="1" customWidth="1"/>
    <col min="4871" max="4871" width="18.8984375" style="1" customWidth="1"/>
    <col min="4872" max="4872" width="16.5" style="1" customWidth="1"/>
    <col min="4873" max="4873" width="24.59765625" style="1" customWidth="1"/>
    <col min="4874" max="4874" width="17.8984375" style="1" customWidth="1"/>
    <col min="4875" max="5121" width="9" style="1"/>
    <col min="5122" max="5122" width="6.59765625" style="1" customWidth="1"/>
    <col min="5123" max="5123" width="19.69921875" style="1" customWidth="1"/>
    <col min="5124" max="5124" width="25.69921875" style="1" customWidth="1"/>
    <col min="5125" max="5125" width="47.69921875" style="1" customWidth="1"/>
    <col min="5126" max="5126" width="45.296875" style="1" customWidth="1"/>
    <col min="5127" max="5127" width="18.8984375" style="1" customWidth="1"/>
    <col min="5128" max="5128" width="16.5" style="1" customWidth="1"/>
    <col min="5129" max="5129" width="24.59765625" style="1" customWidth="1"/>
    <col min="5130" max="5130" width="17.8984375" style="1" customWidth="1"/>
    <col min="5131" max="5377" width="9" style="1"/>
    <col min="5378" max="5378" width="6.59765625" style="1" customWidth="1"/>
    <col min="5379" max="5379" width="19.69921875" style="1" customWidth="1"/>
    <col min="5380" max="5380" width="25.69921875" style="1" customWidth="1"/>
    <col min="5381" max="5381" width="47.69921875" style="1" customWidth="1"/>
    <col min="5382" max="5382" width="45.296875" style="1" customWidth="1"/>
    <col min="5383" max="5383" width="18.8984375" style="1" customWidth="1"/>
    <col min="5384" max="5384" width="16.5" style="1" customWidth="1"/>
    <col min="5385" max="5385" width="24.59765625" style="1" customWidth="1"/>
    <col min="5386" max="5386" width="17.8984375" style="1" customWidth="1"/>
    <col min="5387" max="5633" width="9" style="1"/>
    <col min="5634" max="5634" width="6.59765625" style="1" customWidth="1"/>
    <col min="5635" max="5635" width="19.69921875" style="1" customWidth="1"/>
    <col min="5636" max="5636" width="25.69921875" style="1" customWidth="1"/>
    <col min="5637" max="5637" width="47.69921875" style="1" customWidth="1"/>
    <col min="5638" max="5638" width="45.296875" style="1" customWidth="1"/>
    <col min="5639" max="5639" width="18.8984375" style="1" customWidth="1"/>
    <col min="5640" max="5640" width="16.5" style="1" customWidth="1"/>
    <col min="5641" max="5641" width="24.59765625" style="1" customWidth="1"/>
    <col min="5642" max="5642" width="17.8984375" style="1" customWidth="1"/>
    <col min="5643" max="5889" width="9" style="1"/>
    <col min="5890" max="5890" width="6.59765625" style="1" customWidth="1"/>
    <col min="5891" max="5891" width="19.69921875" style="1" customWidth="1"/>
    <col min="5892" max="5892" width="25.69921875" style="1" customWidth="1"/>
    <col min="5893" max="5893" width="47.69921875" style="1" customWidth="1"/>
    <col min="5894" max="5894" width="45.296875" style="1" customWidth="1"/>
    <col min="5895" max="5895" width="18.8984375" style="1" customWidth="1"/>
    <col min="5896" max="5896" width="16.5" style="1" customWidth="1"/>
    <col min="5897" max="5897" width="24.59765625" style="1" customWidth="1"/>
    <col min="5898" max="5898" width="17.8984375" style="1" customWidth="1"/>
    <col min="5899" max="6145" width="9" style="1"/>
    <col min="6146" max="6146" width="6.59765625" style="1" customWidth="1"/>
    <col min="6147" max="6147" width="19.69921875" style="1" customWidth="1"/>
    <col min="6148" max="6148" width="25.69921875" style="1" customWidth="1"/>
    <col min="6149" max="6149" width="47.69921875" style="1" customWidth="1"/>
    <col min="6150" max="6150" width="45.296875" style="1" customWidth="1"/>
    <col min="6151" max="6151" width="18.8984375" style="1" customWidth="1"/>
    <col min="6152" max="6152" width="16.5" style="1" customWidth="1"/>
    <col min="6153" max="6153" width="24.59765625" style="1" customWidth="1"/>
    <col min="6154" max="6154" width="17.8984375" style="1" customWidth="1"/>
    <col min="6155" max="6401" width="9" style="1"/>
    <col min="6402" max="6402" width="6.59765625" style="1" customWidth="1"/>
    <col min="6403" max="6403" width="19.69921875" style="1" customWidth="1"/>
    <col min="6404" max="6404" width="25.69921875" style="1" customWidth="1"/>
    <col min="6405" max="6405" width="47.69921875" style="1" customWidth="1"/>
    <col min="6406" max="6406" width="45.296875" style="1" customWidth="1"/>
    <col min="6407" max="6407" width="18.8984375" style="1" customWidth="1"/>
    <col min="6408" max="6408" width="16.5" style="1" customWidth="1"/>
    <col min="6409" max="6409" width="24.59765625" style="1" customWidth="1"/>
    <col min="6410" max="6410" width="17.8984375" style="1" customWidth="1"/>
    <col min="6411" max="6657" width="9" style="1"/>
    <col min="6658" max="6658" width="6.59765625" style="1" customWidth="1"/>
    <col min="6659" max="6659" width="19.69921875" style="1" customWidth="1"/>
    <col min="6660" max="6660" width="25.69921875" style="1" customWidth="1"/>
    <col min="6661" max="6661" width="47.69921875" style="1" customWidth="1"/>
    <col min="6662" max="6662" width="45.296875" style="1" customWidth="1"/>
    <col min="6663" max="6663" width="18.8984375" style="1" customWidth="1"/>
    <col min="6664" max="6664" width="16.5" style="1" customWidth="1"/>
    <col min="6665" max="6665" width="24.59765625" style="1" customWidth="1"/>
    <col min="6666" max="6666" width="17.8984375" style="1" customWidth="1"/>
    <col min="6667" max="6913" width="9" style="1"/>
    <col min="6914" max="6914" width="6.59765625" style="1" customWidth="1"/>
    <col min="6915" max="6915" width="19.69921875" style="1" customWidth="1"/>
    <col min="6916" max="6916" width="25.69921875" style="1" customWidth="1"/>
    <col min="6917" max="6917" width="47.69921875" style="1" customWidth="1"/>
    <col min="6918" max="6918" width="45.296875" style="1" customWidth="1"/>
    <col min="6919" max="6919" width="18.8984375" style="1" customWidth="1"/>
    <col min="6920" max="6920" width="16.5" style="1" customWidth="1"/>
    <col min="6921" max="6921" width="24.59765625" style="1" customWidth="1"/>
    <col min="6922" max="6922" width="17.8984375" style="1" customWidth="1"/>
    <col min="6923" max="7169" width="9" style="1"/>
    <col min="7170" max="7170" width="6.59765625" style="1" customWidth="1"/>
    <col min="7171" max="7171" width="19.69921875" style="1" customWidth="1"/>
    <col min="7172" max="7172" width="25.69921875" style="1" customWidth="1"/>
    <col min="7173" max="7173" width="47.69921875" style="1" customWidth="1"/>
    <col min="7174" max="7174" width="45.296875" style="1" customWidth="1"/>
    <col min="7175" max="7175" width="18.8984375" style="1" customWidth="1"/>
    <col min="7176" max="7176" width="16.5" style="1" customWidth="1"/>
    <col min="7177" max="7177" width="24.59765625" style="1" customWidth="1"/>
    <col min="7178" max="7178" width="17.8984375" style="1" customWidth="1"/>
    <col min="7179" max="7425" width="9" style="1"/>
    <col min="7426" max="7426" width="6.59765625" style="1" customWidth="1"/>
    <col min="7427" max="7427" width="19.69921875" style="1" customWidth="1"/>
    <col min="7428" max="7428" width="25.69921875" style="1" customWidth="1"/>
    <col min="7429" max="7429" width="47.69921875" style="1" customWidth="1"/>
    <col min="7430" max="7430" width="45.296875" style="1" customWidth="1"/>
    <col min="7431" max="7431" width="18.8984375" style="1" customWidth="1"/>
    <col min="7432" max="7432" width="16.5" style="1" customWidth="1"/>
    <col min="7433" max="7433" width="24.59765625" style="1" customWidth="1"/>
    <col min="7434" max="7434" width="17.8984375" style="1" customWidth="1"/>
    <col min="7435" max="7681" width="9" style="1"/>
    <col min="7682" max="7682" width="6.59765625" style="1" customWidth="1"/>
    <col min="7683" max="7683" width="19.69921875" style="1" customWidth="1"/>
    <col min="7684" max="7684" width="25.69921875" style="1" customWidth="1"/>
    <col min="7685" max="7685" width="47.69921875" style="1" customWidth="1"/>
    <col min="7686" max="7686" width="45.296875" style="1" customWidth="1"/>
    <col min="7687" max="7687" width="18.8984375" style="1" customWidth="1"/>
    <col min="7688" max="7688" width="16.5" style="1" customWidth="1"/>
    <col min="7689" max="7689" width="24.59765625" style="1" customWidth="1"/>
    <col min="7690" max="7690" width="17.8984375" style="1" customWidth="1"/>
    <col min="7691" max="7937" width="9" style="1"/>
    <col min="7938" max="7938" width="6.59765625" style="1" customWidth="1"/>
    <col min="7939" max="7939" width="19.69921875" style="1" customWidth="1"/>
    <col min="7940" max="7940" width="25.69921875" style="1" customWidth="1"/>
    <col min="7941" max="7941" width="47.69921875" style="1" customWidth="1"/>
    <col min="7942" max="7942" width="45.296875" style="1" customWidth="1"/>
    <col min="7943" max="7943" width="18.8984375" style="1" customWidth="1"/>
    <col min="7944" max="7944" width="16.5" style="1" customWidth="1"/>
    <col min="7945" max="7945" width="24.59765625" style="1" customWidth="1"/>
    <col min="7946" max="7946" width="17.8984375" style="1" customWidth="1"/>
    <col min="7947" max="8193" width="9" style="1"/>
    <col min="8194" max="8194" width="6.59765625" style="1" customWidth="1"/>
    <col min="8195" max="8195" width="19.69921875" style="1" customWidth="1"/>
    <col min="8196" max="8196" width="25.69921875" style="1" customWidth="1"/>
    <col min="8197" max="8197" width="47.69921875" style="1" customWidth="1"/>
    <col min="8198" max="8198" width="45.296875" style="1" customWidth="1"/>
    <col min="8199" max="8199" width="18.8984375" style="1" customWidth="1"/>
    <col min="8200" max="8200" width="16.5" style="1" customWidth="1"/>
    <col min="8201" max="8201" width="24.59765625" style="1" customWidth="1"/>
    <col min="8202" max="8202" width="17.8984375" style="1" customWidth="1"/>
    <col min="8203" max="8449" width="9" style="1"/>
    <col min="8450" max="8450" width="6.59765625" style="1" customWidth="1"/>
    <col min="8451" max="8451" width="19.69921875" style="1" customWidth="1"/>
    <col min="8452" max="8452" width="25.69921875" style="1" customWidth="1"/>
    <col min="8453" max="8453" width="47.69921875" style="1" customWidth="1"/>
    <col min="8454" max="8454" width="45.296875" style="1" customWidth="1"/>
    <col min="8455" max="8455" width="18.8984375" style="1" customWidth="1"/>
    <col min="8456" max="8456" width="16.5" style="1" customWidth="1"/>
    <col min="8457" max="8457" width="24.59765625" style="1" customWidth="1"/>
    <col min="8458" max="8458" width="17.8984375" style="1" customWidth="1"/>
    <col min="8459" max="8705" width="9" style="1"/>
    <col min="8706" max="8706" width="6.59765625" style="1" customWidth="1"/>
    <col min="8707" max="8707" width="19.69921875" style="1" customWidth="1"/>
    <col min="8708" max="8708" width="25.69921875" style="1" customWidth="1"/>
    <col min="8709" max="8709" width="47.69921875" style="1" customWidth="1"/>
    <col min="8710" max="8710" width="45.296875" style="1" customWidth="1"/>
    <col min="8711" max="8711" width="18.8984375" style="1" customWidth="1"/>
    <col min="8712" max="8712" width="16.5" style="1" customWidth="1"/>
    <col min="8713" max="8713" width="24.59765625" style="1" customWidth="1"/>
    <col min="8714" max="8714" width="17.8984375" style="1" customWidth="1"/>
    <col min="8715" max="8961" width="9" style="1"/>
    <col min="8962" max="8962" width="6.59765625" style="1" customWidth="1"/>
    <col min="8963" max="8963" width="19.69921875" style="1" customWidth="1"/>
    <col min="8964" max="8964" width="25.69921875" style="1" customWidth="1"/>
    <col min="8965" max="8965" width="47.69921875" style="1" customWidth="1"/>
    <col min="8966" max="8966" width="45.296875" style="1" customWidth="1"/>
    <col min="8967" max="8967" width="18.8984375" style="1" customWidth="1"/>
    <col min="8968" max="8968" width="16.5" style="1" customWidth="1"/>
    <col min="8969" max="8969" width="24.59765625" style="1" customWidth="1"/>
    <col min="8970" max="8970" width="17.8984375" style="1" customWidth="1"/>
    <col min="8971" max="9217" width="9" style="1"/>
    <col min="9218" max="9218" width="6.59765625" style="1" customWidth="1"/>
    <col min="9219" max="9219" width="19.69921875" style="1" customWidth="1"/>
    <col min="9220" max="9220" width="25.69921875" style="1" customWidth="1"/>
    <col min="9221" max="9221" width="47.69921875" style="1" customWidth="1"/>
    <col min="9222" max="9222" width="45.296875" style="1" customWidth="1"/>
    <col min="9223" max="9223" width="18.8984375" style="1" customWidth="1"/>
    <col min="9224" max="9224" width="16.5" style="1" customWidth="1"/>
    <col min="9225" max="9225" width="24.59765625" style="1" customWidth="1"/>
    <col min="9226" max="9226" width="17.8984375" style="1" customWidth="1"/>
    <col min="9227" max="9473" width="9" style="1"/>
    <col min="9474" max="9474" width="6.59765625" style="1" customWidth="1"/>
    <col min="9475" max="9475" width="19.69921875" style="1" customWidth="1"/>
    <col min="9476" max="9476" width="25.69921875" style="1" customWidth="1"/>
    <col min="9477" max="9477" width="47.69921875" style="1" customWidth="1"/>
    <col min="9478" max="9478" width="45.296875" style="1" customWidth="1"/>
    <col min="9479" max="9479" width="18.8984375" style="1" customWidth="1"/>
    <col min="9480" max="9480" width="16.5" style="1" customWidth="1"/>
    <col min="9481" max="9481" width="24.59765625" style="1" customWidth="1"/>
    <col min="9482" max="9482" width="17.8984375" style="1" customWidth="1"/>
    <col min="9483" max="9729" width="9" style="1"/>
    <col min="9730" max="9730" width="6.59765625" style="1" customWidth="1"/>
    <col min="9731" max="9731" width="19.69921875" style="1" customWidth="1"/>
    <col min="9732" max="9732" width="25.69921875" style="1" customWidth="1"/>
    <col min="9733" max="9733" width="47.69921875" style="1" customWidth="1"/>
    <col min="9734" max="9734" width="45.296875" style="1" customWidth="1"/>
    <col min="9735" max="9735" width="18.8984375" style="1" customWidth="1"/>
    <col min="9736" max="9736" width="16.5" style="1" customWidth="1"/>
    <col min="9737" max="9737" width="24.59765625" style="1" customWidth="1"/>
    <col min="9738" max="9738" width="17.8984375" style="1" customWidth="1"/>
    <col min="9739" max="9985" width="9" style="1"/>
    <col min="9986" max="9986" width="6.59765625" style="1" customWidth="1"/>
    <col min="9987" max="9987" width="19.69921875" style="1" customWidth="1"/>
    <col min="9988" max="9988" width="25.69921875" style="1" customWidth="1"/>
    <col min="9989" max="9989" width="47.69921875" style="1" customWidth="1"/>
    <col min="9990" max="9990" width="45.296875" style="1" customWidth="1"/>
    <col min="9991" max="9991" width="18.8984375" style="1" customWidth="1"/>
    <col min="9992" max="9992" width="16.5" style="1" customWidth="1"/>
    <col min="9993" max="9993" width="24.59765625" style="1" customWidth="1"/>
    <col min="9994" max="9994" width="17.8984375" style="1" customWidth="1"/>
    <col min="9995" max="10241" width="9" style="1"/>
    <col min="10242" max="10242" width="6.59765625" style="1" customWidth="1"/>
    <col min="10243" max="10243" width="19.69921875" style="1" customWidth="1"/>
    <col min="10244" max="10244" width="25.69921875" style="1" customWidth="1"/>
    <col min="10245" max="10245" width="47.69921875" style="1" customWidth="1"/>
    <col min="10246" max="10246" width="45.296875" style="1" customWidth="1"/>
    <col min="10247" max="10247" width="18.8984375" style="1" customWidth="1"/>
    <col min="10248" max="10248" width="16.5" style="1" customWidth="1"/>
    <col min="10249" max="10249" width="24.59765625" style="1" customWidth="1"/>
    <col min="10250" max="10250" width="17.8984375" style="1" customWidth="1"/>
    <col min="10251" max="10497" width="9" style="1"/>
    <col min="10498" max="10498" width="6.59765625" style="1" customWidth="1"/>
    <col min="10499" max="10499" width="19.69921875" style="1" customWidth="1"/>
    <col min="10500" max="10500" width="25.69921875" style="1" customWidth="1"/>
    <col min="10501" max="10501" width="47.69921875" style="1" customWidth="1"/>
    <col min="10502" max="10502" width="45.296875" style="1" customWidth="1"/>
    <col min="10503" max="10503" width="18.8984375" style="1" customWidth="1"/>
    <col min="10504" max="10504" width="16.5" style="1" customWidth="1"/>
    <col min="10505" max="10505" width="24.59765625" style="1" customWidth="1"/>
    <col min="10506" max="10506" width="17.8984375" style="1" customWidth="1"/>
    <col min="10507" max="10753" width="9" style="1"/>
    <col min="10754" max="10754" width="6.59765625" style="1" customWidth="1"/>
    <col min="10755" max="10755" width="19.69921875" style="1" customWidth="1"/>
    <col min="10756" max="10756" width="25.69921875" style="1" customWidth="1"/>
    <col min="10757" max="10757" width="47.69921875" style="1" customWidth="1"/>
    <col min="10758" max="10758" width="45.296875" style="1" customWidth="1"/>
    <col min="10759" max="10759" width="18.8984375" style="1" customWidth="1"/>
    <col min="10760" max="10760" width="16.5" style="1" customWidth="1"/>
    <col min="10761" max="10761" width="24.59765625" style="1" customWidth="1"/>
    <col min="10762" max="10762" width="17.8984375" style="1" customWidth="1"/>
    <col min="10763" max="11009" width="9" style="1"/>
    <col min="11010" max="11010" width="6.59765625" style="1" customWidth="1"/>
    <col min="11011" max="11011" width="19.69921875" style="1" customWidth="1"/>
    <col min="11012" max="11012" width="25.69921875" style="1" customWidth="1"/>
    <col min="11013" max="11013" width="47.69921875" style="1" customWidth="1"/>
    <col min="11014" max="11014" width="45.296875" style="1" customWidth="1"/>
    <col min="11015" max="11015" width="18.8984375" style="1" customWidth="1"/>
    <col min="11016" max="11016" width="16.5" style="1" customWidth="1"/>
    <col min="11017" max="11017" width="24.59765625" style="1" customWidth="1"/>
    <col min="11018" max="11018" width="17.8984375" style="1" customWidth="1"/>
    <col min="11019" max="11265" width="9" style="1"/>
    <col min="11266" max="11266" width="6.59765625" style="1" customWidth="1"/>
    <col min="11267" max="11267" width="19.69921875" style="1" customWidth="1"/>
    <col min="11268" max="11268" width="25.69921875" style="1" customWidth="1"/>
    <col min="11269" max="11269" width="47.69921875" style="1" customWidth="1"/>
    <col min="11270" max="11270" width="45.296875" style="1" customWidth="1"/>
    <col min="11271" max="11271" width="18.8984375" style="1" customWidth="1"/>
    <col min="11272" max="11272" width="16.5" style="1" customWidth="1"/>
    <col min="11273" max="11273" width="24.59765625" style="1" customWidth="1"/>
    <col min="11274" max="11274" width="17.8984375" style="1" customWidth="1"/>
    <col min="11275" max="11521" width="9" style="1"/>
    <col min="11522" max="11522" width="6.59765625" style="1" customWidth="1"/>
    <col min="11523" max="11523" width="19.69921875" style="1" customWidth="1"/>
    <col min="11524" max="11524" width="25.69921875" style="1" customWidth="1"/>
    <col min="11525" max="11525" width="47.69921875" style="1" customWidth="1"/>
    <col min="11526" max="11526" width="45.296875" style="1" customWidth="1"/>
    <col min="11527" max="11527" width="18.8984375" style="1" customWidth="1"/>
    <col min="11528" max="11528" width="16.5" style="1" customWidth="1"/>
    <col min="11529" max="11529" width="24.59765625" style="1" customWidth="1"/>
    <col min="11530" max="11530" width="17.8984375" style="1" customWidth="1"/>
    <col min="11531" max="11777" width="9" style="1"/>
    <col min="11778" max="11778" width="6.59765625" style="1" customWidth="1"/>
    <col min="11779" max="11779" width="19.69921875" style="1" customWidth="1"/>
    <col min="11780" max="11780" width="25.69921875" style="1" customWidth="1"/>
    <col min="11781" max="11781" width="47.69921875" style="1" customWidth="1"/>
    <col min="11782" max="11782" width="45.296875" style="1" customWidth="1"/>
    <col min="11783" max="11783" width="18.8984375" style="1" customWidth="1"/>
    <col min="11784" max="11784" width="16.5" style="1" customWidth="1"/>
    <col min="11785" max="11785" width="24.59765625" style="1" customWidth="1"/>
    <col min="11786" max="11786" width="17.8984375" style="1" customWidth="1"/>
    <col min="11787" max="12033" width="9" style="1"/>
    <col min="12034" max="12034" width="6.59765625" style="1" customWidth="1"/>
    <col min="12035" max="12035" width="19.69921875" style="1" customWidth="1"/>
    <col min="12036" max="12036" width="25.69921875" style="1" customWidth="1"/>
    <col min="12037" max="12037" width="47.69921875" style="1" customWidth="1"/>
    <col min="12038" max="12038" width="45.296875" style="1" customWidth="1"/>
    <col min="12039" max="12039" width="18.8984375" style="1" customWidth="1"/>
    <col min="12040" max="12040" width="16.5" style="1" customWidth="1"/>
    <col min="12041" max="12041" width="24.59765625" style="1" customWidth="1"/>
    <col min="12042" max="12042" width="17.8984375" style="1" customWidth="1"/>
    <col min="12043" max="12289" width="9" style="1"/>
    <col min="12290" max="12290" width="6.59765625" style="1" customWidth="1"/>
    <col min="12291" max="12291" width="19.69921875" style="1" customWidth="1"/>
    <col min="12292" max="12292" width="25.69921875" style="1" customWidth="1"/>
    <col min="12293" max="12293" width="47.69921875" style="1" customWidth="1"/>
    <col min="12294" max="12294" width="45.296875" style="1" customWidth="1"/>
    <col min="12295" max="12295" width="18.8984375" style="1" customWidth="1"/>
    <col min="12296" max="12296" width="16.5" style="1" customWidth="1"/>
    <col min="12297" max="12297" width="24.59765625" style="1" customWidth="1"/>
    <col min="12298" max="12298" width="17.8984375" style="1" customWidth="1"/>
    <col min="12299" max="12545" width="9" style="1"/>
    <col min="12546" max="12546" width="6.59765625" style="1" customWidth="1"/>
    <col min="12547" max="12547" width="19.69921875" style="1" customWidth="1"/>
    <col min="12548" max="12548" width="25.69921875" style="1" customWidth="1"/>
    <col min="12549" max="12549" width="47.69921875" style="1" customWidth="1"/>
    <col min="12550" max="12550" width="45.296875" style="1" customWidth="1"/>
    <col min="12551" max="12551" width="18.8984375" style="1" customWidth="1"/>
    <col min="12552" max="12552" width="16.5" style="1" customWidth="1"/>
    <col min="12553" max="12553" width="24.59765625" style="1" customWidth="1"/>
    <col min="12554" max="12554" width="17.8984375" style="1" customWidth="1"/>
    <col min="12555" max="12801" width="9" style="1"/>
    <col min="12802" max="12802" width="6.59765625" style="1" customWidth="1"/>
    <col min="12803" max="12803" width="19.69921875" style="1" customWidth="1"/>
    <col min="12804" max="12804" width="25.69921875" style="1" customWidth="1"/>
    <col min="12805" max="12805" width="47.69921875" style="1" customWidth="1"/>
    <col min="12806" max="12806" width="45.296875" style="1" customWidth="1"/>
    <col min="12807" max="12807" width="18.8984375" style="1" customWidth="1"/>
    <col min="12808" max="12808" width="16.5" style="1" customWidth="1"/>
    <col min="12809" max="12809" width="24.59765625" style="1" customWidth="1"/>
    <col min="12810" max="12810" width="17.8984375" style="1" customWidth="1"/>
    <col min="12811" max="13057" width="9" style="1"/>
    <col min="13058" max="13058" width="6.59765625" style="1" customWidth="1"/>
    <col min="13059" max="13059" width="19.69921875" style="1" customWidth="1"/>
    <col min="13060" max="13060" width="25.69921875" style="1" customWidth="1"/>
    <col min="13061" max="13061" width="47.69921875" style="1" customWidth="1"/>
    <col min="13062" max="13062" width="45.296875" style="1" customWidth="1"/>
    <col min="13063" max="13063" width="18.8984375" style="1" customWidth="1"/>
    <col min="13064" max="13064" width="16.5" style="1" customWidth="1"/>
    <col min="13065" max="13065" width="24.59765625" style="1" customWidth="1"/>
    <col min="13066" max="13066" width="17.8984375" style="1" customWidth="1"/>
    <col min="13067" max="13313" width="9" style="1"/>
    <col min="13314" max="13314" width="6.59765625" style="1" customWidth="1"/>
    <col min="13315" max="13315" width="19.69921875" style="1" customWidth="1"/>
    <col min="13316" max="13316" width="25.69921875" style="1" customWidth="1"/>
    <col min="13317" max="13317" width="47.69921875" style="1" customWidth="1"/>
    <col min="13318" max="13318" width="45.296875" style="1" customWidth="1"/>
    <col min="13319" max="13319" width="18.8984375" style="1" customWidth="1"/>
    <col min="13320" max="13320" width="16.5" style="1" customWidth="1"/>
    <col min="13321" max="13321" width="24.59765625" style="1" customWidth="1"/>
    <col min="13322" max="13322" width="17.8984375" style="1" customWidth="1"/>
    <col min="13323" max="13569" width="9" style="1"/>
    <col min="13570" max="13570" width="6.59765625" style="1" customWidth="1"/>
    <col min="13571" max="13571" width="19.69921875" style="1" customWidth="1"/>
    <col min="13572" max="13572" width="25.69921875" style="1" customWidth="1"/>
    <col min="13573" max="13573" width="47.69921875" style="1" customWidth="1"/>
    <col min="13574" max="13574" width="45.296875" style="1" customWidth="1"/>
    <col min="13575" max="13575" width="18.8984375" style="1" customWidth="1"/>
    <col min="13576" max="13576" width="16.5" style="1" customWidth="1"/>
    <col min="13577" max="13577" width="24.59765625" style="1" customWidth="1"/>
    <col min="13578" max="13578" width="17.8984375" style="1" customWidth="1"/>
    <col min="13579" max="13825" width="9" style="1"/>
    <col min="13826" max="13826" width="6.59765625" style="1" customWidth="1"/>
    <col min="13827" max="13827" width="19.69921875" style="1" customWidth="1"/>
    <col min="13828" max="13828" width="25.69921875" style="1" customWidth="1"/>
    <col min="13829" max="13829" width="47.69921875" style="1" customWidth="1"/>
    <col min="13830" max="13830" width="45.296875" style="1" customWidth="1"/>
    <col min="13831" max="13831" width="18.8984375" style="1" customWidth="1"/>
    <col min="13832" max="13832" width="16.5" style="1" customWidth="1"/>
    <col min="13833" max="13833" width="24.59765625" style="1" customWidth="1"/>
    <col min="13834" max="13834" width="17.8984375" style="1" customWidth="1"/>
    <col min="13835" max="14081" width="9" style="1"/>
    <col min="14082" max="14082" width="6.59765625" style="1" customWidth="1"/>
    <col min="14083" max="14083" width="19.69921875" style="1" customWidth="1"/>
    <col min="14084" max="14084" width="25.69921875" style="1" customWidth="1"/>
    <col min="14085" max="14085" width="47.69921875" style="1" customWidth="1"/>
    <col min="14086" max="14086" width="45.296875" style="1" customWidth="1"/>
    <col min="14087" max="14087" width="18.8984375" style="1" customWidth="1"/>
    <col min="14088" max="14088" width="16.5" style="1" customWidth="1"/>
    <col min="14089" max="14089" width="24.59765625" style="1" customWidth="1"/>
    <col min="14090" max="14090" width="17.8984375" style="1" customWidth="1"/>
    <col min="14091" max="14337" width="9" style="1"/>
    <col min="14338" max="14338" width="6.59765625" style="1" customWidth="1"/>
    <col min="14339" max="14339" width="19.69921875" style="1" customWidth="1"/>
    <col min="14340" max="14340" width="25.69921875" style="1" customWidth="1"/>
    <col min="14341" max="14341" width="47.69921875" style="1" customWidth="1"/>
    <col min="14342" max="14342" width="45.296875" style="1" customWidth="1"/>
    <col min="14343" max="14343" width="18.8984375" style="1" customWidth="1"/>
    <col min="14344" max="14344" width="16.5" style="1" customWidth="1"/>
    <col min="14345" max="14345" width="24.59765625" style="1" customWidth="1"/>
    <col min="14346" max="14346" width="17.8984375" style="1" customWidth="1"/>
    <col min="14347" max="14593" width="9" style="1"/>
    <col min="14594" max="14594" width="6.59765625" style="1" customWidth="1"/>
    <col min="14595" max="14595" width="19.69921875" style="1" customWidth="1"/>
    <col min="14596" max="14596" width="25.69921875" style="1" customWidth="1"/>
    <col min="14597" max="14597" width="47.69921875" style="1" customWidth="1"/>
    <col min="14598" max="14598" width="45.296875" style="1" customWidth="1"/>
    <col min="14599" max="14599" width="18.8984375" style="1" customWidth="1"/>
    <col min="14600" max="14600" width="16.5" style="1" customWidth="1"/>
    <col min="14601" max="14601" width="24.59765625" style="1" customWidth="1"/>
    <col min="14602" max="14602" width="17.8984375" style="1" customWidth="1"/>
    <col min="14603" max="14849" width="9" style="1"/>
    <col min="14850" max="14850" width="6.59765625" style="1" customWidth="1"/>
    <col min="14851" max="14851" width="19.69921875" style="1" customWidth="1"/>
    <col min="14852" max="14852" width="25.69921875" style="1" customWidth="1"/>
    <col min="14853" max="14853" width="47.69921875" style="1" customWidth="1"/>
    <col min="14854" max="14854" width="45.296875" style="1" customWidth="1"/>
    <col min="14855" max="14855" width="18.8984375" style="1" customWidth="1"/>
    <col min="14856" max="14856" width="16.5" style="1" customWidth="1"/>
    <col min="14857" max="14857" width="24.59765625" style="1" customWidth="1"/>
    <col min="14858" max="14858" width="17.8984375" style="1" customWidth="1"/>
    <col min="14859" max="15105" width="9" style="1"/>
    <col min="15106" max="15106" width="6.59765625" style="1" customWidth="1"/>
    <col min="15107" max="15107" width="19.69921875" style="1" customWidth="1"/>
    <col min="15108" max="15108" width="25.69921875" style="1" customWidth="1"/>
    <col min="15109" max="15109" width="47.69921875" style="1" customWidth="1"/>
    <col min="15110" max="15110" width="45.296875" style="1" customWidth="1"/>
    <col min="15111" max="15111" width="18.8984375" style="1" customWidth="1"/>
    <col min="15112" max="15112" width="16.5" style="1" customWidth="1"/>
    <col min="15113" max="15113" width="24.59765625" style="1" customWidth="1"/>
    <col min="15114" max="15114" width="17.8984375" style="1" customWidth="1"/>
    <col min="15115" max="15361" width="9" style="1"/>
    <col min="15362" max="15362" width="6.59765625" style="1" customWidth="1"/>
    <col min="15363" max="15363" width="19.69921875" style="1" customWidth="1"/>
    <col min="15364" max="15364" width="25.69921875" style="1" customWidth="1"/>
    <col min="15365" max="15365" width="47.69921875" style="1" customWidth="1"/>
    <col min="15366" max="15366" width="45.296875" style="1" customWidth="1"/>
    <col min="15367" max="15367" width="18.8984375" style="1" customWidth="1"/>
    <col min="15368" max="15368" width="16.5" style="1" customWidth="1"/>
    <col min="15369" max="15369" width="24.59765625" style="1" customWidth="1"/>
    <col min="15370" max="15370" width="17.8984375" style="1" customWidth="1"/>
    <col min="15371" max="15617" width="9" style="1"/>
    <col min="15618" max="15618" width="6.59765625" style="1" customWidth="1"/>
    <col min="15619" max="15619" width="19.69921875" style="1" customWidth="1"/>
    <col min="15620" max="15620" width="25.69921875" style="1" customWidth="1"/>
    <col min="15621" max="15621" width="47.69921875" style="1" customWidth="1"/>
    <col min="15622" max="15622" width="45.296875" style="1" customWidth="1"/>
    <col min="15623" max="15623" width="18.8984375" style="1" customWidth="1"/>
    <col min="15624" max="15624" width="16.5" style="1" customWidth="1"/>
    <col min="15625" max="15625" width="24.59765625" style="1" customWidth="1"/>
    <col min="15626" max="15626" width="17.8984375" style="1" customWidth="1"/>
    <col min="15627" max="15873" width="9" style="1"/>
    <col min="15874" max="15874" width="6.59765625" style="1" customWidth="1"/>
    <col min="15875" max="15875" width="19.69921875" style="1" customWidth="1"/>
    <col min="15876" max="15876" width="25.69921875" style="1" customWidth="1"/>
    <col min="15877" max="15877" width="47.69921875" style="1" customWidth="1"/>
    <col min="15878" max="15878" width="45.296875" style="1" customWidth="1"/>
    <col min="15879" max="15879" width="18.8984375" style="1" customWidth="1"/>
    <col min="15880" max="15880" width="16.5" style="1" customWidth="1"/>
    <col min="15881" max="15881" width="24.59765625" style="1" customWidth="1"/>
    <col min="15882" max="15882" width="17.8984375" style="1" customWidth="1"/>
    <col min="15883" max="16129" width="9" style="1"/>
    <col min="16130" max="16130" width="6.59765625" style="1" customWidth="1"/>
    <col min="16131" max="16131" width="19.69921875" style="1" customWidth="1"/>
    <col min="16132" max="16132" width="25.69921875" style="1" customWidth="1"/>
    <col min="16133" max="16133" width="47.69921875" style="1" customWidth="1"/>
    <col min="16134" max="16134" width="45.296875" style="1" customWidth="1"/>
    <col min="16135" max="16135" width="18.8984375" style="1" customWidth="1"/>
    <col min="16136" max="16136" width="16.5" style="1" customWidth="1"/>
    <col min="16137" max="16137" width="24.59765625" style="1" customWidth="1"/>
    <col min="16138" max="16138" width="17.8984375" style="1" customWidth="1"/>
    <col min="16139" max="16384" width="9" style="1"/>
  </cols>
  <sheetData>
    <row r="1" spans="1:10" ht="14.4" x14ac:dyDescent="0.25">
      <c r="A1" s="3" t="s">
        <v>83</v>
      </c>
      <c r="B1" s="90" t="s">
        <v>84</v>
      </c>
      <c r="C1" s="91"/>
      <c r="D1" s="91"/>
      <c r="E1" s="92"/>
    </row>
    <row r="2" spans="1:10" x14ac:dyDescent="0.25">
      <c r="B2" s="4" t="s">
        <v>0</v>
      </c>
      <c r="C2" s="4" t="s">
        <v>85</v>
      </c>
      <c r="D2" s="4" t="s">
        <v>86</v>
      </c>
      <c r="E2" s="4" t="s">
        <v>87</v>
      </c>
      <c r="F2" s="4" t="s">
        <v>3</v>
      </c>
    </row>
    <row r="3" spans="1:10" ht="72" customHeight="1" x14ac:dyDescent="0.25">
      <c r="B3" s="5" t="s">
        <v>88</v>
      </c>
      <c r="C3" s="5" t="s">
        <v>81</v>
      </c>
      <c r="D3" s="5" t="s">
        <v>438</v>
      </c>
      <c r="E3" s="6"/>
      <c r="F3" s="5" t="s">
        <v>439</v>
      </c>
    </row>
    <row r="6" spans="1:10" ht="14.4" x14ac:dyDescent="0.25">
      <c r="B6" s="90" t="s">
        <v>89</v>
      </c>
      <c r="C6" s="91"/>
      <c r="D6" s="91"/>
      <c r="E6" s="91"/>
      <c r="F6" s="91"/>
      <c r="G6" s="91"/>
      <c r="H6" s="91"/>
      <c r="I6" s="91"/>
      <c r="J6" s="92"/>
    </row>
    <row r="7" spans="1:10" ht="28.5" customHeight="1" x14ac:dyDescent="0.25">
      <c r="B7" s="4" t="s">
        <v>90</v>
      </c>
      <c r="C7" s="4" t="s">
        <v>91</v>
      </c>
      <c r="D7" s="4" t="s">
        <v>92</v>
      </c>
      <c r="E7" s="4" t="s">
        <v>93</v>
      </c>
      <c r="F7" s="4" t="s">
        <v>94</v>
      </c>
      <c r="G7" s="4" t="s">
        <v>95</v>
      </c>
      <c r="H7" s="4" t="s">
        <v>96</v>
      </c>
      <c r="I7" s="10" t="s">
        <v>97</v>
      </c>
      <c r="J7" s="4" t="s">
        <v>98</v>
      </c>
    </row>
    <row r="8" spans="1:10" ht="81" customHeight="1" x14ac:dyDescent="0.25">
      <c r="B8" s="7" t="s">
        <v>283</v>
      </c>
      <c r="C8" s="5" t="s">
        <v>284</v>
      </c>
      <c r="D8" s="8" t="s">
        <v>440</v>
      </c>
      <c r="E8" s="5"/>
      <c r="F8" s="5"/>
      <c r="G8" s="7"/>
      <c r="H8" s="7"/>
      <c r="I8" s="11"/>
      <c r="J8" s="7"/>
    </row>
    <row r="9" spans="1:10" ht="48" customHeight="1" x14ac:dyDescent="0.25">
      <c r="B9" s="7" t="s">
        <v>24</v>
      </c>
      <c r="C9" s="5" t="s">
        <v>287</v>
      </c>
      <c r="D9" s="8" t="s">
        <v>288</v>
      </c>
      <c r="E9" s="5"/>
      <c r="F9" s="5"/>
      <c r="G9" s="7"/>
      <c r="H9" s="7"/>
      <c r="I9" s="11"/>
      <c r="J9" s="7"/>
    </row>
    <row r="10" spans="1:10" ht="49.05" customHeight="1" x14ac:dyDescent="0.25">
      <c r="B10" s="7" t="s">
        <v>289</v>
      </c>
      <c r="C10" s="7" t="s">
        <v>290</v>
      </c>
      <c r="D10" s="8" t="s">
        <v>441</v>
      </c>
      <c r="E10" s="5"/>
      <c r="F10" s="5"/>
      <c r="G10" s="7"/>
      <c r="H10" s="7"/>
      <c r="I10" s="11"/>
      <c r="J10" s="7"/>
    </row>
    <row r="11" spans="1:10" x14ac:dyDescent="0.25">
      <c r="B11" s="7"/>
      <c r="C11" s="7"/>
      <c r="D11" s="8"/>
      <c r="E11" s="5"/>
      <c r="F11" s="5"/>
      <c r="G11" s="7"/>
      <c r="H11" s="7"/>
      <c r="I11" s="11"/>
      <c r="J11" s="7"/>
    </row>
    <row r="12" spans="1:10" x14ac:dyDescent="0.25">
      <c r="B12" s="7"/>
      <c r="C12" s="7"/>
      <c r="D12" s="8"/>
      <c r="E12" s="5"/>
      <c r="F12" s="5"/>
      <c r="G12" s="7"/>
      <c r="H12" s="7"/>
      <c r="I12" s="11"/>
      <c r="J12" s="7"/>
    </row>
    <row r="13" spans="1:10" x14ac:dyDescent="0.25">
      <c r="B13" s="7"/>
      <c r="C13" s="7"/>
      <c r="D13" s="8"/>
      <c r="E13" s="5"/>
      <c r="F13" s="5"/>
      <c r="G13" s="7"/>
      <c r="H13" s="7"/>
      <c r="I13" s="11"/>
      <c r="J13" s="7"/>
    </row>
    <row r="14" spans="1:10" x14ac:dyDescent="0.25">
      <c r="B14" s="7"/>
      <c r="C14" s="7"/>
      <c r="D14" s="8"/>
      <c r="E14" s="5"/>
      <c r="F14" s="5"/>
      <c r="G14" s="7"/>
      <c r="H14" s="7"/>
      <c r="I14" s="11"/>
      <c r="J14" s="7"/>
    </row>
    <row r="15" spans="1:10" x14ac:dyDescent="0.25">
      <c r="E15" s="9"/>
      <c r="F15" s="9"/>
      <c r="G15" s="9"/>
      <c r="H15" s="9"/>
      <c r="I15" s="11"/>
      <c r="J15" s="9"/>
    </row>
    <row r="16" spans="1:10" ht="14.4" x14ac:dyDescent="0.25">
      <c r="B16" s="90" t="s">
        <v>118</v>
      </c>
      <c r="C16" s="91"/>
      <c r="D16" s="91"/>
      <c r="E16" s="9"/>
      <c r="F16" s="9"/>
      <c r="G16" s="9"/>
      <c r="H16" s="9"/>
      <c r="I16" s="11"/>
      <c r="J16" s="9"/>
    </row>
    <row r="17" spans="2:4" x14ac:dyDescent="0.25">
      <c r="B17" s="4" t="s">
        <v>119</v>
      </c>
      <c r="C17" s="4" t="s">
        <v>120</v>
      </c>
      <c r="D17" s="4" t="s">
        <v>121</v>
      </c>
    </row>
    <row r="18" spans="2:4" x14ac:dyDescent="0.25">
      <c r="B18" s="7" t="s">
        <v>122</v>
      </c>
      <c r="C18" s="7"/>
      <c r="D18" s="7"/>
    </row>
  </sheetData>
  <mergeCells count="3">
    <mergeCell ref="B1:E1"/>
    <mergeCell ref="B6:J6"/>
    <mergeCell ref="B16:D16"/>
  </mergeCells>
  <phoneticPr fontId="29" type="noConversion"/>
  <dataValidations count="2">
    <dataValidation type="list" allowBlank="1" showInputMessage="1" showErrorMessage="1" sqref="E3" xr:uid="{00000000-0002-0000-2B00-000000000000}">
      <formula1>"通过,部分通过,不通过"</formula1>
    </dataValidation>
    <dataValidation type="list" allowBlank="1" showInputMessage="1" showErrorMessage="1" sqref="H8:H14 H65544:H65550 H131080:H131086 H196616:H196622 H262152:H262158 H327688:H327694 H393224:H393230 H458760:H458766 H524296:H524302 H589832:H589838 H655368:H655374 H720904:H720910 H786440:H786446 H851976:H851982 H917512:H917518 H983048:H983054 JE8:JE14 JE65544:JE65550 JE131080:JE131086 JE196616:JE196622 JE262152:JE262158 JE327688:JE327694 JE393224:JE393230 JE458760:JE458766 JE524296:JE524302 JE589832:JE589838 JE655368:JE655374 JE720904:JE720910 JE786440:JE786446 JE851976:JE851982 JE917512:JE917518 JE983048:JE983054 TA8:TA14 TA65544:TA65550 TA131080:TA131086 TA196616:TA196622 TA262152:TA262158 TA327688:TA327694 TA393224:TA393230 TA458760:TA458766 TA524296:TA524302 TA589832:TA589838 TA655368:TA655374 TA720904:TA720910 TA786440:TA786446 TA851976:TA851982 TA917512:TA917518 TA983048:TA983054 ACW8:ACW14 ACW65544:ACW65550 ACW131080:ACW131086 ACW196616:ACW196622 ACW262152:ACW262158 ACW327688:ACW327694 ACW393224:ACW393230 ACW458760:ACW458766 ACW524296:ACW524302 ACW589832:ACW589838 ACW655368:ACW655374 ACW720904:ACW720910 ACW786440:ACW786446 ACW851976:ACW851982 ACW917512:ACW917518 ACW983048:ACW983054 AMS8:AMS14 AMS65544:AMS65550 AMS131080:AMS131086 AMS196616:AMS196622 AMS262152:AMS262158 AMS327688:AMS327694 AMS393224:AMS393230 AMS458760:AMS458766 AMS524296:AMS524302 AMS589832:AMS589838 AMS655368:AMS655374 AMS720904:AMS720910 AMS786440:AMS786446 AMS851976:AMS851982 AMS917512:AMS917518 AMS983048:AMS983054 AWO8:AWO14 AWO65544:AWO65550 AWO131080:AWO131086 AWO196616:AWO196622 AWO262152:AWO262158 AWO327688:AWO327694 AWO393224:AWO393230 AWO458760:AWO458766 AWO524296:AWO524302 AWO589832:AWO589838 AWO655368:AWO655374 AWO720904:AWO720910 AWO786440:AWO786446 AWO851976:AWO851982 AWO917512:AWO917518 AWO983048:AWO983054 BGK8:BGK14 BGK65544:BGK65550 BGK131080:BGK131086 BGK196616:BGK196622 BGK262152:BGK262158 BGK327688:BGK327694 BGK393224:BGK393230 BGK458760:BGK458766 BGK524296:BGK524302 BGK589832:BGK589838 BGK655368:BGK655374 BGK720904:BGK720910 BGK786440:BGK786446 BGK851976:BGK851982 BGK917512:BGK917518 BGK983048:BGK983054 BQG8:BQG14 BQG65544:BQG65550 BQG131080:BQG131086 BQG196616:BQG196622 BQG262152:BQG262158 BQG327688:BQG327694 BQG393224:BQG393230 BQG458760:BQG458766 BQG524296:BQG524302 BQG589832:BQG589838 BQG655368:BQG655374 BQG720904:BQG720910 BQG786440:BQG786446 BQG851976:BQG851982 BQG917512:BQG917518 BQG983048:BQG983054 CAC8:CAC14 CAC65544:CAC65550 CAC131080:CAC131086 CAC196616:CAC196622 CAC262152:CAC262158 CAC327688:CAC327694 CAC393224:CAC393230 CAC458760:CAC458766 CAC524296:CAC524302 CAC589832:CAC589838 CAC655368:CAC655374 CAC720904:CAC720910 CAC786440:CAC786446 CAC851976:CAC851982 CAC917512:CAC917518 CAC983048:CAC983054 CJY8:CJY14 CJY65544:CJY65550 CJY131080:CJY131086 CJY196616:CJY196622 CJY262152:CJY262158 CJY327688:CJY327694 CJY393224:CJY393230 CJY458760:CJY458766 CJY524296:CJY524302 CJY589832:CJY589838 CJY655368:CJY655374 CJY720904:CJY720910 CJY786440:CJY786446 CJY851976:CJY851982 CJY917512:CJY917518 CJY983048:CJY983054 CTU8:CTU14 CTU65544:CTU65550 CTU131080:CTU131086 CTU196616:CTU196622 CTU262152:CTU262158 CTU327688:CTU327694 CTU393224:CTU393230 CTU458760:CTU458766 CTU524296:CTU524302 CTU589832:CTU589838 CTU655368:CTU655374 CTU720904:CTU720910 CTU786440:CTU786446 CTU851976:CTU851982 CTU917512:CTU917518 CTU983048:CTU983054 DDQ8:DDQ14 DDQ65544:DDQ65550 DDQ131080:DDQ131086 DDQ196616:DDQ196622 DDQ262152:DDQ262158 DDQ327688:DDQ327694 DDQ393224:DDQ393230 DDQ458760:DDQ458766 DDQ524296:DDQ524302 DDQ589832:DDQ589838 DDQ655368:DDQ655374 DDQ720904:DDQ720910 DDQ786440:DDQ786446 DDQ851976:DDQ851982 DDQ917512:DDQ917518 DDQ983048:DDQ983054 DNM8:DNM14 DNM65544:DNM65550 DNM131080:DNM131086 DNM196616:DNM196622 DNM262152:DNM262158 DNM327688:DNM327694 DNM393224:DNM393230 DNM458760:DNM458766 DNM524296:DNM524302 DNM589832:DNM589838 DNM655368:DNM655374 DNM720904:DNM720910 DNM786440:DNM786446 DNM851976:DNM851982 DNM917512:DNM917518 DNM983048:DNM983054 DXI8:DXI14 DXI65544:DXI65550 DXI131080:DXI131086 DXI196616:DXI196622 DXI262152:DXI262158 DXI327688:DXI327694 DXI393224:DXI393230 DXI458760:DXI458766 DXI524296:DXI524302 DXI589832:DXI589838 DXI655368:DXI655374 DXI720904:DXI720910 DXI786440:DXI786446 DXI851976:DXI851982 DXI917512:DXI917518 DXI983048:DXI983054 EHE8:EHE14 EHE65544:EHE65550 EHE131080:EHE131086 EHE196616:EHE196622 EHE262152:EHE262158 EHE327688:EHE327694 EHE393224:EHE393230 EHE458760:EHE458766 EHE524296:EHE524302 EHE589832:EHE589838 EHE655368:EHE655374 EHE720904:EHE720910 EHE786440:EHE786446 EHE851976:EHE851982 EHE917512:EHE917518 EHE983048:EHE983054 ERA8:ERA14 ERA65544:ERA65550 ERA131080:ERA131086 ERA196616:ERA196622 ERA262152:ERA262158 ERA327688:ERA327694 ERA393224:ERA393230 ERA458760:ERA458766 ERA524296:ERA524302 ERA589832:ERA589838 ERA655368:ERA655374 ERA720904:ERA720910 ERA786440:ERA786446 ERA851976:ERA851982 ERA917512:ERA917518 ERA983048:ERA983054 FAW8:FAW14 FAW65544:FAW65550 FAW131080:FAW131086 FAW196616:FAW196622 FAW262152:FAW262158 FAW327688:FAW327694 FAW393224:FAW393230 FAW458760:FAW458766 FAW524296:FAW524302 FAW589832:FAW589838 FAW655368:FAW655374 FAW720904:FAW720910 FAW786440:FAW786446 FAW851976:FAW851982 FAW917512:FAW917518 FAW983048:FAW983054 FKS8:FKS14 FKS65544:FKS65550 FKS131080:FKS131086 FKS196616:FKS196622 FKS262152:FKS262158 FKS327688:FKS327694 FKS393224:FKS393230 FKS458760:FKS458766 FKS524296:FKS524302 FKS589832:FKS589838 FKS655368:FKS655374 FKS720904:FKS720910 FKS786440:FKS786446 FKS851976:FKS851982 FKS917512:FKS917518 FKS983048:FKS983054 FUO8:FUO14 FUO65544:FUO65550 FUO131080:FUO131086 FUO196616:FUO196622 FUO262152:FUO262158 FUO327688:FUO327694 FUO393224:FUO393230 FUO458760:FUO458766 FUO524296:FUO524302 FUO589832:FUO589838 FUO655368:FUO655374 FUO720904:FUO720910 FUO786440:FUO786446 FUO851976:FUO851982 FUO917512:FUO917518 FUO983048:FUO983054 GEK8:GEK14 GEK65544:GEK65550 GEK131080:GEK131086 GEK196616:GEK196622 GEK262152:GEK262158 GEK327688:GEK327694 GEK393224:GEK393230 GEK458760:GEK458766 GEK524296:GEK524302 GEK589832:GEK589838 GEK655368:GEK655374 GEK720904:GEK720910 GEK786440:GEK786446 GEK851976:GEK851982 GEK917512:GEK917518 GEK983048:GEK983054 GOG8:GOG14 GOG65544:GOG65550 GOG131080:GOG131086 GOG196616:GOG196622 GOG262152:GOG262158 GOG327688:GOG327694 GOG393224:GOG393230 GOG458760:GOG458766 GOG524296:GOG524302 GOG589832:GOG589838 GOG655368:GOG655374 GOG720904:GOG720910 GOG786440:GOG786446 GOG851976:GOG851982 GOG917512:GOG917518 GOG983048:GOG983054 GYC8:GYC14 GYC65544:GYC65550 GYC131080:GYC131086 GYC196616:GYC196622 GYC262152:GYC262158 GYC327688:GYC327694 GYC393224:GYC393230 GYC458760:GYC458766 GYC524296:GYC524302 GYC589832:GYC589838 GYC655368:GYC655374 GYC720904:GYC720910 GYC786440:GYC786446 GYC851976:GYC851982 GYC917512:GYC917518 GYC983048:GYC983054 HHY8:HHY14 HHY65544:HHY65550 HHY131080:HHY131086 HHY196616:HHY196622 HHY262152:HHY262158 HHY327688:HHY327694 HHY393224:HHY393230 HHY458760:HHY458766 HHY524296:HHY524302 HHY589832:HHY589838 HHY655368:HHY655374 HHY720904:HHY720910 HHY786440:HHY786446 HHY851976:HHY851982 HHY917512:HHY917518 HHY983048:HHY983054 HRU8:HRU14 HRU65544:HRU65550 HRU131080:HRU131086 HRU196616:HRU196622 HRU262152:HRU262158 HRU327688:HRU327694 HRU393224:HRU393230 HRU458760:HRU458766 HRU524296:HRU524302 HRU589832:HRU589838 HRU655368:HRU655374 HRU720904:HRU720910 HRU786440:HRU786446 HRU851976:HRU851982 HRU917512:HRU917518 HRU983048:HRU983054 IBQ8:IBQ14 IBQ65544:IBQ65550 IBQ131080:IBQ131086 IBQ196616:IBQ196622 IBQ262152:IBQ262158 IBQ327688:IBQ327694 IBQ393224:IBQ393230 IBQ458760:IBQ458766 IBQ524296:IBQ524302 IBQ589832:IBQ589838 IBQ655368:IBQ655374 IBQ720904:IBQ720910 IBQ786440:IBQ786446 IBQ851976:IBQ851982 IBQ917512:IBQ917518 IBQ983048:IBQ983054 ILM8:ILM14 ILM65544:ILM65550 ILM131080:ILM131086 ILM196616:ILM196622 ILM262152:ILM262158 ILM327688:ILM327694 ILM393224:ILM393230 ILM458760:ILM458766 ILM524296:ILM524302 ILM589832:ILM589838 ILM655368:ILM655374 ILM720904:ILM720910 ILM786440:ILM786446 ILM851976:ILM851982 ILM917512:ILM917518 ILM983048:ILM983054 IVI8:IVI14 IVI65544:IVI65550 IVI131080:IVI131086 IVI196616:IVI196622 IVI262152:IVI262158 IVI327688:IVI327694 IVI393224:IVI393230 IVI458760:IVI458766 IVI524296:IVI524302 IVI589832:IVI589838 IVI655368:IVI655374 IVI720904:IVI720910 IVI786440:IVI786446 IVI851976:IVI851982 IVI917512:IVI917518 IVI983048:IVI983054 JFE8:JFE14 JFE65544:JFE65550 JFE131080:JFE131086 JFE196616:JFE196622 JFE262152:JFE262158 JFE327688:JFE327694 JFE393224:JFE393230 JFE458760:JFE458766 JFE524296:JFE524302 JFE589832:JFE589838 JFE655368:JFE655374 JFE720904:JFE720910 JFE786440:JFE786446 JFE851976:JFE851982 JFE917512:JFE917518 JFE983048:JFE983054 JPA8:JPA14 JPA65544:JPA65550 JPA131080:JPA131086 JPA196616:JPA196622 JPA262152:JPA262158 JPA327688:JPA327694 JPA393224:JPA393230 JPA458760:JPA458766 JPA524296:JPA524302 JPA589832:JPA589838 JPA655368:JPA655374 JPA720904:JPA720910 JPA786440:JPA786446 JPA851976:JPA851982 JPA917512:JPA917518 JPA983048:JPA983054 JYW8:JYW14 JYW65544:JYW65550 JYW131080:JYW131086 JYW196616:JYW196622 JYW262152:JYW262158 JYW327688:JYW327694 JYW393224:JYW393230 JYW458760:JYW458766 JYW524296:JYW524302 JYW589832:JYW589838 JYW655368:JYW655374 JYW720904:JYW720910 JYW786440:JYW786446 JYW851976:JYW851982 JYW917512:JYW917518 JYW983048:JYW983054 KIS8:KIS14 KIS65544:KIS65550 KIS131080:KIS131086 KIS196616:KIS196622 KIS262152:KIS262158 KIS327688:KIS327694 KIS393224:KIS393230 KIS458760:KIS458766 KIS524296:KIS524302 KIS589832:KIS589838 KIS655368:KIS655374 KIS720904:KIS720910 KIS786440:KIS786446 KIS851976:KIS851982 KIS917512:KIS917518 KIS983048:KIS983054 KSO8:KSO14 KSO65544:KSO65550 KSO131080:KSO131086 KSO196616:KSO196622 KSO262152:KSO262158 KSO327688:KSO327694 KSO393224:KSO393230 KSO458760:KSO458766 KSO524296:KSO524302 KSO589832:KSO589838 KSO655368:KSO655374 KSO720904:KSO720910 KSO786440:KSO786446 KSO851976:KSO851982 KSO917512:KSO917518 KSO983048:KSO983054 LCK8:LCK14 LCK65544:LCK65550 LCK131080:LCK131086 LCK196616:LCK196622 LCK262152:LCK262158 LCK327688:LCK327694 LCK393224:LCK393230 LCK458760:LCK458766 LCK524296:LCK524302 LCK589832:LCK589838 LCK655368:LCK655374 LCK720904:LCK720910 LCK786440:LCK786446 LCK851976:LCK851982 LCK917512:LCK917518 LCK983048:LCK983054 LMG8:LMG14 LMG65544:LMG65550 LMG131080:LMG131086 LMG196616:LMG196622 LMG262152:LMG262158 LMG327688:LMG327694 LMG393224:LMG393230 LMG458760:LMG458766 LMG524296:LMG524302 LMG589832:LMG589838 LMG655368:LMG655374 LMG720904:LMG720910 LMG786440:LMG786446 LMG851976:LMG851982 LMG917512:LMG917518 LMG983048:LMG983054 LWC8:LWC14 LWC65544:LWC65550 LWC131080:LWC131086 LWC196616:LWC196622 LWC262152:LWC262158 LWC327688:LWC327694 LWC393224:LWC393230 LWC458760:LWC458766 LWC524296:LWC524302 LWC589832:LWC589838 LWC655368:LWC655374 LWC720904:LWC720910 LWC786440:LWC786446 LWC851976:LWC851982 LWC917512:LWC917518 LWC983048:LWC983054 MFY8:MFY14 MFY65544:MFY65550 MFY131080:MFY131086 MFY196616:MFY196622 MFY262152:MFY262158 MFY327688:MFY327694 MFY393224:MFY393230 MFY458760:MFY458766 MFY524296:MFY524302 MFY589832:MFY589838 MFY655368:MFY655374 MFY720904:MFY720910 MFY786440:MFY786446 MFY851976:MFY851982 MFY917512:MFY917518 MFY983048:MFY983054 MPU8:MPU14 MPU65544:MPU65550 MPU131080:MPU131086 MPU196616:MPU196622 MPU262152:MPU262158 MPU327688:MPU327694 MPU393224:MPU393230 MPU458760:MPU458766 MPU524296:MPU524302 MPU589832:MPU589838 MPU655368:MPU655374 MPU720904:MPU720910 MPU786440:MPU786446 MPU851976:MPU851982 MPU917512:MPU917518 MPU983048:MPU983054 MZQ8:MZQ14 MZQ65544:MZQ65550 MZQ131080:MZQ131086 MZQ196616:MZQ196622 MZQ262152:MZQ262158 MZQ327688:MZQ327694 MZQ393224:MZQ393230 MZQ458760:MZQ458766 MZQ524296:MZQ524302 MZQ589832:MZQ589838 MZQ655368:MZQ655374 MZQ720904:MZQ720910 MZQ786440:MZQ786446 MZQ851976:MZQ851982 MZQ917512:MZQ917518 MZQ983048:MZQ983054 NJM8:NJM14 NJM65544:NJM65550 NJM131080:NJM131086 NJM196616:NJM196622 NJM262152:NJM262158 NJM327688:NJM327694 NJM393224:NJM393230 NJM458760:NJM458766 NJM524296:NJM524302 NJM589832:NJM589838 NJM655368:NJM655374 NJM720904:NJM720910 NJM786440:NJM786446 NJM851976:NJM851982 NJM917512:NJM917518 NJM983048:NJM983054 NTI8:NTI14 NTI65544:NTI65550 NTI131080:NTI131086 NTI196616:NTI196622 NTI262152:NTI262158 NTI327688:NTI327694 NTI393224:NTI393230 NTI458760:NTI458766 NTI524296:NTI524302 NTI589832:NTI589838 NTI655368:NTI655374 NTI720904:NTI720910 NTI786440:NTI786446 NTI851976:NTI851982 NTI917512:NTI917518 NTI983048:NTI983054 ODE8:ODE14 ODE65544:ODE65550 ODE131080:ODE131086 ODE196616:ODE196622 ODE262152:ODE262158 ODE327688:ODE327694 ODE393224:ODE393230 ODE458760:ODE458766 ODE524296:ODE524302 ODE589832:ODE589838 ODE655368:ODE655374 ODE720904:ODE720910 ODE786440:ODE786446 ODE851976:ODE851982 ODE917512:ODE917518 ODE983048:ODE983054 ONA8:ONA14 ONA65544:ONA65550 ONA131080:ONA131086 ONA196616:ONA196622 ONA262152:ONA262158 ONA327688:ONA327694 ONA393224:ONA393230 ONA458760:ONA458766 ONA524296:ONA524302 ONA589832:ONA589838 ONA655368:ONA655374 ONA720904:ONA720910 ONA786440:ONA786446 ONA851976:ONA851982 ONA917512:ONA917518 ONA983048:ONA983054 OWW8:OWW14 OWW65544:OWW65550 OWW131080:OWW131086 OWW196616:OWW196622 OWW262152:OWW262158 OWW327688:OWW327694 OWW393224:OWW393230 OWW458760:OWW458766 OWW524296:OWW524302 OWW589832:OWW589838 OWW655368:OWW655374 OWW720904:OWW720910 OWW786440:OWW786446 OWW851976:OWW851982 OWW917512:OWW917518 OWW983048:OWW983054 PGS8:PGS14 PGS65544:PGS65550 PGS131080:PGS131086 PGS196616:PGS196622 PGS262152:PGS262158 PGS327688:PGS327694 PGS393224:PGS393230 PGS458760:PGS458766 PGS524296:PGS524302 PGS589832:PGS589838 PGS655368:PGS655374 PGS720904:PGS720910 PGS786440:PGS786446 PGS851976:PGS851982 PGS917512:PGS917518 PGS983048:PGS983054 PQO8:PQO14 PQO65544:PQO65550 PQO131080:PQO131086 PQO196616:PQO196622 PQO262152:PQO262158 PQO327688:PQO327694 PQO393224:PQO393230 PQO458760:PQO458766 PQO524296:PQO524302 PQO589832:PQO589838 PQO655368:PQO655374 PQO720904:PQO720910 PQO786440:PQO786446 PQO851976:PQO851982 PQO917512:PQO917518 PQO983048:PQO983054 QAK8:QAK14 QAK65544:QAK65550 QAK131080:QAK131086 QAK196616:QAK196622 QAK262152:QAK262158 QAK327688:QAK327694 QAK393224:QAK393230 QAK458760:QAK458766 QAK524296:QAK524302 QAK589832:QAK589838 QAK655368:QAK655374 QAK720904:QAK720910 QAK786440:QAK786446 QAK851976:QAK851982 QAK917512:QAK917518 QAK983048:QAK983054 QKG8:QKG14 QKG65544:QKG65550 QKG131080:QKG131086 QKG196616:QKG196622 QKG262152:QKG262158 QKG327688:QKG327694 QKG393224:QKG393230 QKG458760:QKG458766 QKG524296:QKG524302 QKG589832:QKG589838 QKG655368:QKG655374 QKG720904:QKG720910 QKG786440:QKG786446 QKG851976:QKG851982 QKG917512:QKG917518 QKG983048:QKG983054 QUC8:QUC14 QUC65544:QUC65550 QUC131080:QUC131086 QUC196616:QUC196622 QUC262152:QUC262158 QUC327688:QUC327694 QUC393224:QUC393230 QUC458760:QUC458766 QUC524296:QUC524302 QUC589832:QUC589838 QUC655368:QUC655374 QUC720904:QUC720910 QUC786440:QUC786446 QUC851976:QUC851982 QUC917512:QUC917518 QUC983048:QUC983054 RDY8:RDY14 RDY65544:RDY65550 RDY131080:RDY131086 RDY196616:RDY196622 RDY262152:RDY262158 RDY327688:RDY327694 RDY393224:RDY393230 RDY458760:RDY458766 RDY524296:RDY524302 RDY589832:RDY589838 RDY655368:RDY655374 RDY720904:RDY720910 RDY786440:RDY786446 RDY851976:RDY851982 RDY917512:RDY917518 RDY983048:RDY983054 RNU8:RNU14 RNU65544:RNU65550 RNU131080:RNU131086 RNU196616:RNU196622 RNU262152:RNU262158 RNU327688:RNU327694 RNU393224:RNU393230 RNU458760:RNU458766 RNU524296:RNU524302 RNU589832:RNU589838 RNU655368:RNU655374 RNU720904:RNU720910 RNU786440:RNU786446 RNU851976:RNU851982 RNU917512:RNU917518 RNU983048:RNU983054 RXQ8:RXQ14 RXQ65544:RXQ65550 RXQ131080:RXQ131086 RXQ196616:RXQ196622 RXQ262152:RXQ262158 RXQ327688:RXQ327694 RXQ393224:RXQ393230 RXQ458760:RXQ458766 RXQ524296:RXQ524302 RXQ589832:RXQ589838 RXQ655368:RXQ655374 RXQ720904:RXQ720910 RXQ786440:RXQ786446 RXQ851976:RXQ851982 RXQ917512:RXQ917518 RXQ983048:RXQ983054 SHM8:SHM14 SHM65544:SHM65550 SHM131080:SHM131086 SHM196616:SHM196622 SHM262152:SHM262158 SHM327688:SHM327694 SHM393224:SHM393230 SHM458760:SHM458766 SHM524296:SHM524302 SHM589832:SHM589838 SHM655368:SHM655374 SHM720904:SHM720910 SHM786440:SHM786446 SHM851976:SHM851982 SHM917512:SHM917518 SHM983048:SHM983054 SRI8:SRI14 SRI65544:SRI65550 SRI131080:SRI131086 SRI196616:SRI196622 SRI262152:SRI262158 SRI327688:SRI327694 SRI393224:SRI393230 SRI458760:SRI458766 SRI524296:SRI524302 SRI589832:SRI589838 SRI655368:SRI655374 SRI720904:SRI720910 SRI786440:SRI786446 SRI851976:SRI851982 SRI917512:SRI917518 SRI983048:SRI983054 TBE8:TBE14 TBE65544:TBE65550 TBE131080:TBE131086 TBE196616:TBE196622 TBE262152:TBE262158 TBE327688:TBE327694 TBE393224:TBE393230 TBE458760:TBE458766 TBE524296:TBE524302 TBE589832:TBE589838 TBE655368:TBE655374 TBE720904:TBE720910 TBE786440:TBE786446 TBE851976:TBE851982 TBE917512:TBE917518 TBE983048:TBE983054 TLA8:TLA14 TLA65544:TLA65550 TLA131080:TLA131086 TLA196616:TLA196622 TLA262152:TLA262158 TLA327688:TLA327694 TLA393224:TLA393230 TLA458760:TLA458766 TLA524296:TLA524302 TLA589832:TLA589838 TLA655368:TLA655374 TLA720904:TLA720910 TLA786440:TLA786446 TLA851976:TLA851982 TLA917512:TLA917518 TLA983048:TLA983054 TUW8:TUW14 TUW65544:TUW65550 TUW131080:TUW131086 TUW196616:TUW196622 TUW262152:TUW262158 TUW327688:TUW327694 TUW393224:TUW393230 TUW458760:TUW458766 TUW524296:TUW524302 TUW589832:TUW589838 TUW655368:TUW655374 TUW720904:TUW720910 TUW786440:TUW786446 TUW851976:TUW851982 TUW917512:TUW917518 TUW983048:TUW983054 UES8:UES14 UES65544:UES65550 UES131080:UES131086 UES196616:UES196622 UES262152:UES262158 UES327688:UES327694 UES393224:UES393230 UES458760:UES458766 UES524296:UES524302 UES589832:UES589838 UES655368:UES655374 UES720904:UES720910 UES786440:UES786446 UES851976:UES851982 UES917512:UES917518 UES983048:UES983054 UOO8:UOO14 UOO65544:UOO65550 UOO131080:UOO131086 UOO196616:UOO196622 UOO262152:UOO262158 UOO327688:UOO327694 UOO393224:UOO393230 UOO458760:UOO458766 UOO524296:UOO524302 UOO589832:UOO589838 UOO655368:UOO655374 UOO720904:UOO720910 UOO786440:UOO786446 UOO851976:UOO851982 UOO917512:UOO917518 UOO983048:UOO983054 UYK8:UYK14 UYK65544:UYK65550 UYK131080:UYK131086 UYK196616:UYK196622 UYK262152:UYK262158 UYK327688:UYK327694 UYK393224:UYK393230 UYK458760:UYK458766 UYK524296:UYK524302 UYK589832:UYK589838 UYK655368:UYK655374 UYK720904:UYK720910 UYK786440:UYK786446 UYK851976:UYK851982 UYK917512:UYK917518 UYK983048:UYK983054 VIG8:VIG14 VIG65544:VIG65550 VIG131080:VIG131086 VIG196616:VIG196622 VIG262152:VIG262158 VIG327688:VIG327694 VIG393224:VIG393230 VIG458760:VIG458766 VIG524296:VIG524302 VIG589832:VIG589838 VIG655368:VIG655374 VIG720904:VIG720910 VIG786440:VIG786446 VIG851976:VIG851982 VIG917512:VIG917518 VIG983048:VIG983054 VSC8:VSC14 VSC65544:VSC65550 VSC131080:VSC131086 VSC196616:VSC196622 VSC262152:VSC262158 VSC327688:VSC327694 VSC393224:VSC393230 VSC458760:VSC458766 VSC524296:VSC524302 VSC589832:VSC589838 VSC655368:VSC655374 VSC720904:VSC720910 VSC786440:VSC786446 VSC851976:VSC851982 VSC917512:VSC917518 VSC983048:VSC983054 WBY8:WBY14 WBY65544:WBY65550 WBY131080:WBY131086 WBY196616:WBY196622 WBY262152:WBY262158 WBY327688:WBY327694 WBY393224:WBY393230 WBY458760:WBY458766 WBY524296:WBY524302 WBY589832:WBY589838 WBY655368:WBY655374 WBY720904:WBY720910 WBY786440:WBY786446 WBY851976:WBY851982 WBY917512:WBY917518 WBY983048:WBY983054 WLU8:WLU14 WLU65544:WLU65550 WLU131080:WLU131086 WLU196616:WLU196622 WLU262152:WLU262158 WLU327688:WLU327694 WLU393224:WLU393230 WLU458760:WLU458766 WLU524296:WLU524302 WLU589832:WLU589838 WLU655368:WLU655374 WLU720904:WLU720910 WLU786440:WLU786446 WLU851976:WLU851982 WLU917512:WLU917518 WLU983048:WLU983054 WVQ8:WVQ14 WVQ65544:WVQ65550 WVQ131080:WVQ131086 WVQ196616:WVQ196622 WVQ262152:WVQ262158 WVQ327688:WVQ327694 WVQ393224:WVQ393230 WVQ458760:WVQ458766 WVQ524296:WVQ524302 WVQ589832:WVQ589838 WVQ655368:WVQ655374 WVQ720904:WVQ720910 WVQ786440:WVQ786446 WVQ851976:WVQ851982 WVQ917512:WVQ917518 WVQ983048:WVQ983054" xr:uid="{00000000-0002-0000-2B00-000001000000}">
      <formula1>"正确,错误"</formula1>
    </dataValidation>
  </dataValidations>
  <hyperlinks>
    <hyperlink ref="A1" location="UAT测试案例清单!A1" display="返回" xr:uid="{00000000-0004-0000-2B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UAT测试案例清单</vt:lpstr>
      <vt:lpstr>PY_001</vt:lpstr>
      <vt:lpstr>PY_002</vt:lpstr>
      <vt:lpstr>PY_003</vt:lpstr>
      <vt:lpstr>PY_004</vt:lpstr>
      <vt:lpstr>PY_005</vt:lpstr>
      <vt:lpstr>PY_006</vt:lpstr>
      <vt:lpstr>PY_007</vt:lpstr>
      <vt:lpstr>PY_008</vt:lpstr>
      <vt:lpstr>PY_009</vt:lpstr>
      <vt:lpstr>PY_010</vt:lpstr>
      <vt:lpstr>PY_011</vt:lpstr>
      <vt:lpstr>PY_012</vt:lpstr>
      <vt:lpstr>PY_013</vt:lpstr>
      <vt:lpstr>PY_014</vt:lpstr>
      <vt:lpstr>PY_015</vt:lpstr>
      <vt:lpstr>PY_016</vt:lpstr>
      <vt:lpstr>PY_017</vt:lpstr>
      <vt:lpstr>PY_018</vt:lpstr>
      <vt:lpstr>PY_019</vt:lpstr>
      <vt:lpstr>PY_020</vt:lpstr>
      <vt:lpstr>PY_101</vt:lpstr>
      <vt:lpstr>PY_102</vt:lpstr>
      <vt:lpstr>PY_103</vt:lpstr>
      <vt:lpstr>PY_104</vt:lpstr>
      <vt:lpstr>PY_105</vt:lpstr>
      <vt:lpstr>PY_106</vt:lpstr>
      <vt:lpstr>PY_107</vt:lpstr>
      <vt:lpstr>PY_108</vt:lpstr>
      <vt:lpstr>PY_109</vt:lpstr>
      <vt:lpstr>PY_110</vt:lpstr>
      <vt:lpstr>PY_111</vt:lpstr>
      <vt:lpstr>PY_112</vt:lpstr>
      <vt:lpstr>PY_113</vt:lpstr>
      <vt:lpstr>PY_114</vt:lpstr>
      <vt:lpstr>PY_115</vt:lpstr>
      <vt:lpstr>PY_116</vt:lpstr>
      <vt:lpstr>PY_117</vt:lpstr>
      <vt:lpstr>PY_118</vt:lpstr>
      <vt:lpstr>PY_119</vt:lpstr>
      <vt:lpstr>PY_120</vt:lpstr>
      <vt:lpstr>PY_121</vt:lpstr>
      <vt:lpstr>PY_122</vt:lpstr>
      <vt:lpstr>PY_123</vt:lpstr>
      <vt:lpstr>PY_124</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Capgemini</dc:creator>
  <cp:lastModifiedBy>Tu, Hao</cp:lastModifiedBy>
  <dcterms:created xsi:type="dcterms:W3CDTF">2008-06-12T02:03:00Z</dcterms:created>
  <dcterms:modified xsi:type="dcterms:W3CDTF">2026-01-13T03:59:19Z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74979021449F4F7695A9D34085920C2D_13</vt:lpwstr>
  </property>
  <property fmtid="{D5CDD505-2E9C-101B-9397-08002B2CF9AE}" pid="3" name="KSOProductBuildVer">
    <vt:lpwstr>2052-12.1.0.18912</vt:lpwstr>
  </property>
</Properties>
</file>